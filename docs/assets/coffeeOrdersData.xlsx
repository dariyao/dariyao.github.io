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dariyaostrovska/Downloads/excel-project-coffee-sales-main/"/>
    </mc:Choice>
  </mc:AlternateContent>
  <xr:revisionPtr revIDLastSave="0" documentId="13_ncr:1_{37A16223-9986-EE4D-97F5-B2468319C62C}" xr6:coauthVersionLast="47" xr6:coauthVersionMax="47" xr10:uidLastSave="{00000000-0000-0000-0000-000000000000}"/>
  <bookViews>
    <workbookView xWindow="0" yWindow="600" windowWidth="38400" windowHeight="21000" xr2:uid="{00000000-000D-0000-FFFF-FFFF00000000}"/>
  </bookViews>
  <sheets>
    <sheet name="Dashboard" sheetId="22" r:id="rId1"/>
    <sheet name="Total Sales over Time" sheetId="18" r:id="rId2"/>
    <sheet name="Sales by Country" sheetId="19"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2"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528" i="17"/>
  <c r="M688" i="17"/>
  <c r="M864" i="17"/>
  <c r="M968"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N2"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<sst xmlns="http://schemas.openxmlformats.org/spreadsheetml/2006/main" count="11128" uniqueCount="6221">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</sst>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164" formatCode="0.0"/>
    <numFmt numFmtId="166" formatCode="dd/mmm/yyyy"/>
    <numFmt numFmtId="167" formatCode="0.0\ &quot;kg&quot;"/>
    <numFmt numFmtId="168" formatCode="_([$$-409]* #,##0.00_);_([$$-409]* \(#,##0.00\);_([$$-409]* &quot;-&quot;??_);_(@_)"/>
    <numFmt numFmtId="169"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9" fontId="0" fillId="0" borderId="0" xfId="0" applyNumberFormat="1"/>
    <xf numFmtId="41" fontId="0" fillId="0" borderId="0" xfId="0" applyNumberFormat="1"/>
  </cellXfs>
  <cellStyles count="1">
    <cellStyle name="Normal" xfId="0" builtinId="0"/>
  </cellStyles>
  <dxfs count="16">
    <dxf>
      <font>
        <b/>
        <sz val="11"/>
        <color theme="1"/>
      </font>
      <border>
        <vertical/>
        <horizontal/>
      </border>
    </dxf>
    <dxf>
      <font>
        <strike val="0"/>
        <color theme="1"/>
      </font>
      <fill>
        <patternFill>
          <fgColor theme="1"/>
        </patternFill>
      </fill>
      <border diagonalUp="0" diagonalDown="0">
        <left/>
        <right/>
        <top/>
        <bottom/>
        <vertical/>
        <horizontal/>
      </border>
    </dxf>
    <dxf>
      <font>
        <b/>
        <color theme="1"/>
      </font>
      <border>
        <bottom style="thin">
          <color theme="0" tint="-0.34998626667073579"/>
        </bottom>
        <vertical/>
        <horizontal/>
      </border>
    </dxf>
    <dxf>
      <font>
        <strike val="0"/>
        <u val="none"/>
        <color theme="1"/>
      </font>
      <fill>
        <patternFill patternType="none">
          <fgColor indexed="64"/>
          <bgColor auto="1"/>
        </patternFill>
      </fill>
      <border diagonalUp="0" diagonalDown="0">
        <left/>
        <right/>
        <top/>
        <bottom/>
        <vertical/>
        <horizontal/>
      </border>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Minimal" pivot="0" table="0" count="10" xr9:uid="{5E017C4B-CB79-274A-B931-CF48F074B2BA}">
      <tableStyleElement type="wholeTable" dxfId="3"/>
      <tableStyleElement type="headerRow" dxfId="2"/>
    </tableStyle>
    <tableStyle name="Minimal Timeline" pivot="0" table="0" count="9" xr9:uid="{67315684-888D-FB4F-8364-1D2191E55C3B}">
      <tableStyleElement type="wholeTable" dxfId="1"/>
      <tableStyleElement type="headerRow" dxfId="0"/>
    </tableStyle>
  </tableStyles>
  <colors>
    <mruColors>
      <color rgb="FF941100"/>
      <color rgb="FF5A2316"/>
      <color rgb="FFE4FBFF"/>
      <color rgb="FFD1E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inima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6" tint="0.39997558519241921"/>
              <bgColor theme="6"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6"/>
              </stop>
              <stop position="1">
                <color theme="6"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6"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inimal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 over Time!TotalSales</c:name>
    <c:fmtId val="17"/>
  </c:pivotSource>
  <c:chart>
    <c:title>
      <c:tx>
        <c:rich>
          <a:bodyPr rot="0" spcFirstLastPara="1" vertOverflow="ellipsis" vert="horz" wrap="square" anchor="ctr" anchorCtr="1"/>
          <a:lstStyle/>
          <a:p>
            <a:pPr>
              <a:defRPr sz="1200" b="1" i="0" u="none" strike="noStrike" kern="1200" spc="0" baseline="0">
                <a:solidFill>
                  <a:schemeClr val="tx1"/>
                </a:solidFill>
                <a:latin typeface="iA Writer Duo S" pitchFamily="2" charset="0"/>
                <a:ea typeface="+mn-ea"/>
                <a:cs typeface="+mn-cs"/>
              </a:defRPr>
            </a:pPr>
            <a:r>
              <a:rPr lang="en-US" sz="1300" b="1"/>
              <a:t>Total Sales Over Time (USD)</a:t>
            </a:r>
          </a:p>
        </c:rich>
      </c:tx>
      <c:layout>
        <c:manualLayout>
          <c:xMode val="edge"/>
          <c:yMode val="edge"/>
          <c:x val="3.1584979472254866E-2"/>
          <c:y val="2.384374158719887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iA Writer Duo S" pitchFamily="2" charset="0"/>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Avenir Book" panose="02000503020000020003"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iA Writer Duo S"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iA Writer Duo S"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iA Writer Duo S"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iA Writer Duo S" pitchFamily="2"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tx1"/>
            </a:solidFill>
            <a:round/>
          </a:ln>
          <a:effectLst/>
        </c:spPr>
        <c:marker>
          <c:symbol val="none"/>
        </c:marker>
      </c:pivotFmt>
    </c:pivotFmts>
    <c:plotArea>
      <c:layout>
        <c:manualLayout>
          <c:layoutTarget val="inner"/>
          <c:xMode val="edge"/>
          <c:yMode val="edge"/>
          <c:x val="7.6901999733778384E-2"/>
          <c:y val="9.8044444444444448E-2"/>
          <c:w val="0.89426814658570797"/>
          <c:h val="0.80763324584426943"/>
        </c:manualLayout>
      </c:layout>
      <c:lineChart>
        <c:grouping val="stacked"/>
        <c:varyColors val="0"/>
        <c:ser>
          <c:idx val="0"/>
          <c:order val="0"/>
          <c:tx>
            <c:strRef>
              <c:f>'Total Sales over Time'!$C$3:$C$4</c:f>
              <c:strCache>
                <c:ptCount val="1"/>
                <c:pt idx="0">
                  <c:v>Arabica</c:v>
                </c:pt>
              </c:strCache>
            </c:strRef>
          </c:tx>
          <c:spPr>
            <a:ln w="28575" cap="rnd">
              <a:solidFill>
                <a:schemeClr val="accent6"/>
              </a:solidFill>
              <a:round/>
            </a:ln>
            <a:effectLst/>
          </c:spPr>
          <c:marker>
            <c:symbol val="none"/>
          </c:marker>
          <c:dPt>
            <c:idx val="32"/>
            <c:marker>
              <c:symbol val="none"/>
            </c:marker>
            <c:bubble3D val="0"/>
            <c:spPr>
              <a:ln w="28575" cap="rnd">
                <a:solidFill>
                  <a:schemeClr val="tx1"/>
                </a:solidFill>
                <a:round/>
              </a:ln>
              <a:effectLst/>
            </c:spPr>
            <c:extLst>
              <c:ext xmlns:c16="http://schemas.microsoft.com/office/drawing/2014/chart" uri="{C3380CC4-5D6E-409C-BE32-E72D297353CC}">
                <c16:uniqueId val="{00000000-8ADA-9949-8374-64606E98D093}"/>
              </c:ext>
            </c:extLst>
          </c:dPt>
          <c:cat>
            <c:multiLvlStrRef>
              <c:f>'Total 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over Time'!$C$5:$C$48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9E9-AD44-BF97-349151622791}"/>
            </c:ext>
          </c:extLst>
        </c:ser>
        <c:ser>
          <c:idx val="1"/>
          <c:order val="1"/>
          <c:tx>
            <c:strRef>
              <c:f>'Total Sales over Time'!$D$3:$D$4</c:f>
              <c:strCache>
                <c:ptCount val="1"/>
                <c:pt idx="0">
                  <c:v>Excelsa</c:v>
                </c:pt>
              </c:strCache>
            </c:strRef>
          </c:tx>
          <c:spPr>
            <a:ln w="28575" cap="rnd">
              <a:solidFill>
                <a:schemeClr val="accent1">
                  <a:lumMod val="60000"/>
                  <a:lumOff val="40000"/>
                </a:schemeClr>
              </a:solidFill>
              <a:round/>
            </a:ln>
            <a:effectLst/>
          </c:spPr>
          <c:marker>
            <c:symbol val="none"/>
          </c:marker>
          <c:cat>
            <c:multiLvlStrRef>
              <c:f>'Total 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over Time'!$D$5:$D$48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9E9-AD44-BF97-349151622791}"/>
            </c:ext>
          </c:extLst>
        </c:ser>
        <c:ser>
          <c:idx val="2"/>
          <c:order val="2"/>
          <c:tx>
            <c:strRef>
              <c:f>'Total Sales over Time'!$E$3:$E$4</c:f>
              <c:strCache>
                <c:ptCount val="1"/>
                <c:pt idx="0">
                  <c:v>Liberica</c:v>
                </c:pt>
              </c:strCache>
            </c:strRef>
          </c:tx>
          <c:spPr>
            <a:ln w="28575" cap="rnd">
              <a:solidFill>
                <a:schemeClr val="accent4"/>
              </a:solidFill>
              <a:round/>
            </a:ln>
            <a:effectLst/>
          </c:spPr>
          <c:marker>
            <c:symbol val="none"/>
          </c:marker>
          <c:cat>
            <c:multiLvlStrRef>
              <c:f>'Total 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over Time'!$E$5:$E$48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ADA-9949-8374-64606E98D093}"/>
            </c:ext>
          </c:extLst>
        </c:ser>
        <c:ser>
          <c:idx val="3"/>
          <c:order val="3"/>
          <c:tx>
            <c:strRef>
              <c:f>'Total Sales over Time'!$F$3:$F$4</c:f>
              <c:strCache>
                <c:ptCount val="1"/>
                <c:pt idx="0">
                  <c:v>Robusta</c:v>
                </c:pt>
              </c:strCache>
            </c:strRef>
          </c:tx>
          <c:spPr>
            <a:ln w="28575" cap="rnd">
              <a:solidFill>
                <a:schemeClr val="accent6">
                  <a:lumMod val="60000"/>
                </a:schemeClr>
              </a:solidFill>
              <a:round/>
            </a:ln>
            <a:effectLst/>
          </c:spPr>
          <c:marker>
            <c:symbol val="none"/>
          </c:marker>
          <c:cat>
            <c:multiLvlStrRef>
              <c:f>'Total Sales over Time'!$A$5:$B$48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over Time'!$F$5:$F$48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ADA-9949-8374-64606E98D093}"/>
            </c:ext>
          </c:extLst>
        </c:ser>
        <c:dLbls>
          <c:showLegendKey val="0"/>
          <c:showVal val="0"/>
          <c:showCatName val="0"/>
          <c:showSerName val="0"/>
          <c:showPercent val="0"/>
          <c:showBubbleSize val="0"/>
        </c:dLbls>
        <c:smooth val="0"/>
        <c:axId val="305259263"/>
        <c:axId val="305254335"/>
      </c:lineChart>
      <c:catAx>
        <c:axId val="30525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iA Writer Duo S" pitchFamily="2" charset="0"/>
                <a:ea typeface="+mn-ea"/>
                <a:cs typeface="+mn-cs"/>
              </a:defRPr>
            </a:pPr>
            <a:endParaRPr lang="en-US"/>
          </a:p>
        </c:txPr>
        <c:crossAx val="305254335"/>
        <c:crosses val="autoZero"/>
        <c:auto val="1"/>
        <c:lblAlgn val="ctr"/>
        <c:lblOffset val="100"/>
        <c:noMultiLvlLbl val="0"/>
      </c:catAx>
      <c:valAx>
        <c:axId val="30525433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iA Writer Duo S" pitchFamily="2" charset="0"/>
                <a:ea typeface="+mn-ea"/>
                <a:cs typeface="+mn-cs"/>
              </a:defRPr>
            </a:pPr>
            <a:endParaRPr lang="en-US"/>
          </a:p>
        </c:txPr>
        <c:crossAx val="305259263"/>
        <c:crosses val="autoZero"/>
        <c:crossBetween val="between"/>
      </c:valAx>
      <c:spPr>
        <a:noFill/>
        <a:ln>
          <a:solidFill>
            <a:schemeClr val="bg1">
              <a:alpha val="0"/>
            </a:schemeClr>
          </a:solidFill>
        </a:ln>
        <a:effectLst/>
      </c:spPr>
    </c:plotArea>
    <c:legend>
      <c:legendPos val="t"/>
      <c:layout>
        <c:manualLayout>
          <c:xMode val="edge"/>
          <c:yMode val="edge"/>
          <c:x val="0.26737833157049679"/>
          <c:y val="9.0134533694559496E-2"/>
          <c:w val="0.46813293255110944"/>
          <c:h val="3.770659453039950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iA Writer Duo S"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a:outerShdw dir="5400000" algn="ctr" rotWithShape="0">
        <a:srgbClr val="000000"/>
      </a:outerShdw>
      <a:softEdge rad="0"/>
    </a:effectLst>
  </c:spPr>
  <c:txPr>
    <a:bodyPr/>
    <a:lstStyle/>
    <a:p>
      <a:pPr>
        <a:defRPr sz="1000" b="0" i="0">
          <a:solidFill>
            <a:schemeClr val="tx1"/>
          </a:solidFill>
          <a:latin typeface="iA Writer Duo S"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[coffeeOrdersData.xlsx]Sales by Country!TotalSales</c:name>
    <c:fmtId val="18"/>
  </c:pivotSource>
  <c:chart>
    <c:title>
      <c:tx>
        <c:rich>
          <a:bodyPr rot="0" spcFirstLastPara="1" vertOverflow="ellipsis" vert="horz" wrap="square" anchor="ctr" anchorCtr="1"/>
          <a:lstStyle/>
          <a:p>
            <a:pPr>
              <a:defRPr sz="1320" b="1" i="0" u="none" strike="noStrike" kern="1200" baseline="0">
                <a:solidFill>
                  <a:schemeClr val="tx1"/>
                </a:solidFill>
                <a:latin typeface="iA Writer Duo S" pitchFamily="2" charset="0"/>
                <a:ea typeface="+mn-ea"/>
                <a:cs typeface="+mn-cs"/>
              </a:defRPr>
            </a:pPr>
            <a:r>
              <a:rPr lang="en-US" sz="1300"/>
              <a:t>Sales by Country</a:t>
            </a:r>
          </a:p>
        </c:rich>
      </c:tx>
      <c:layout>
        <c:manualLayout>
          <c:xMode val="edge"/>
          <c:yMode val="edge"/>
          <c:x val="2.2897214254086203E-2"/>
          <c:y val="5.2356020942408377E-2"/>
        </c:manualLayout>
      </c:layout>
      <c:overlay val="0"/>
      <c:spPr>
        <a:noFill/>
        <a:ln>
          <a:noFill/>
        </a:ln>
        <a:effectLst/>
      </c:spPr>
      <c:txPr>
        <a:bodyPr rot="0" spcFirstLastPara="1" vertOverflow="ellipsis" vert="horz" wrap="square" anchor="ctr" anchorCtr="1"/>
        <a:lstStyle/>
        <a:p>
          <a:pPr>
            <a:defRPr sz="1320" b="1" i="0" u="none" strike="noStrike" kern="1200" baseline="0">
              <a:solidFill>
                <a:schemeClr val="tx1"/>
              </a:solidFill>
              <a:latin typeface="iA Writer Duo S" pitchFamily="2"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6350" cap="rnd" cmpd="sng">
            <a:noFill/>
            <a:round/>
          </a:ln>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iA Writer Duo S"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chemeClr val="accent6">
                <a:lumMod val="50000"/>
              </a:schemeClr>
            </a:solidFill>
            <a:ln w="6350" cap="rnd" cmpd="sng">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iA Writer Duo S"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BBBB-1344-836A-B06E7CC9DD2F}"/>
            </c:ext>
          </c:extLst>
        </c:ser>
        <c:dLbls>
          <c:dLblPos val="outEnd"/>
          <c:showLegendKey val="0"/>
          <c:showVal val="1"/>
          <c:showCatName val="0"/>
          <c:showSerName val="0"/>
          <c:showPercent val="0"/>
          <c:showBubbleSize val="0"/>
        </c:dLbls>
        <c:gapWidth val="359"/>
        <c:overlap val="-20"/>
        <c:axId val="42798143"/>
        <c:axId val="57686463"/>
      </c:barChart>
      <c:catAx>
        <c:axId val="42798143"/>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85000"/>
                    <a:lumOff val="15000"/>
                  </a:schemeClr>
                </a:solidFill>
                <a:latin typeface="iA Writer Duo S" pitchFamily="2" charset="0"/>
                <a:ea typeface="+mn-ea"/>
                <a:cs typeface="+mn-cs"/>
              </a:defRPr>
            </a:pPr>
            <a:endParaRPr lang="en-US"/>
          </a:p>
        </c:txPr>
        <c:crossAx val="57686463"/>
        <c:crosses val="autoZero"/>
        <c:auto val="1"/>
        <c:lblAlgn val="ctr"/>
        <c:lblOffset val="100"/>
        <c:noMultiLvlLbl val="0"/>
      </c:catAx>
      <c:valAx>
        <c:axId val="57686463"/>
        <c:scaling>
          <c:orientation val="minMax"/>
        </c:scaling>
        <c:delete val="1"/>
        <c:axPos val="b"/>
        <c:numFmt formatCode="_([$$-409]* #,##0_);_([$$-409]* \(#,##0\);_([$$-409]* &quot;-&quot;_);_(@_)" sourceLinked="1"/>
        <c:majorTickMark val="none"/>
        <c:minorTickMark val="none"/>
        <c:tickLblPos val="nextTo"/>
        <c:crossAx val="4279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tx1"/>
          </a:solidFill>
          <a:latin typeface="iA Writer Duo S"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[coffeeOrdersData.xlsx]Top 5 Customers!TotalSales</c:name>
    <c:fmtId val="17"/>
  </c:pivotSource>
  <c:chart>
    <c:title>
      <c:tx>
        <c:rich>
          <a:bodyPr rot="0" spcFirstLastPara="1" vertOverflow="ellipsis" vert="horz" wrap="square" anchor="ctr" anchorCtr="1"/>
          <a:lstStyle/>
          <a:p>
            <a:pPr>
              <a:defRPr sz="1300" b="1" i="0" u="none" strike="noStrike" kern="1200" baseline="0">
                <a:solidFill>
                  <a:schemeClr val="tx1"/>
                </a:solidFill>
                <a:latin typeface="iA Writer Duo S" pitchFamily="2" charset="0"/>
                <a:ea typeface="+mn-ea"/>
                <a:cs typeface="+mn-cs"/>
              </a:defRPr>
            </a:pPr>
            <a:r>
              <a:rPr lang="en-US" sz="1300"/>
              <a:t>Top 5 Customers</a:t>
            </a:r>
          </a:p>
        </c:rich>
      </c:tx>
      <c:layout>
        <c:manualLayout>
          <c:xMode val="edge"/>
          <c:yMode val="edge"/>
          <c:x val="2.544497791434604E-2"/>
          <c:y val="3.9525691699604744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solidFill>
              <a:latin typeface="iA Writer Duo S" pitchFamily="2"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iA Writer Duo S"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iA Writer Duo S"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C91D-7A47-88A0-832ACEE8A183}"/>
            </c:ext>
          </c:extLst>
        </c:ser>
        <c:dLbls>
          <c:dLblPos val="outEnd"/>
          <c:showLegendKey val="0"/>
          <c:showVal val="1"/>
          <c:showCatName val="0"/>
          <c:showSerName val="0"/>
          <c:showPercent val="0"/>
          <c:showBubbleSize val="0"/>
        </c:dLbls>
        <c:gapWidth val="359"/>
        <c:overlap val="-20"/>
        <c:axId val="42798143"/>
        <c:axId val="57686463"/>
      </c:barChart>
      <c:catAx>
        <c:axId val="42798143"/>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85000"/>
                    <a:lumOff val="15000"/>
                  </a:schemeClr>
                </a:solidFill>
                <a:latin typeface="iA Writer Duo S" pitchFamily="2" charset="0"/>
                <a:ea typeface="+mn-ea"/>
                <a:cs typeface="+mn-cs"/>
              </a:defRPr>
            </a:pPr>
            <a:endParaRPr lang="en-US"/>
          </a:p>
        </c:txPr>
        <c:crossAx val="57686463"/>
        <c:crosses val="autoZero"/>
        <c:auto val="1"/>
        <c:lblAlgn val="ctr"/>
        <c:lblOffset val="100"/>
        <c:noMultiLvlLbl val="0"/>
      </c:catAx>
      <c:valAx>
        <c:axId val="57686463"/>
        <c:scaling>
          <c:orientation val="minMax"/>
        </c:scaling>
        <c:delete val="1"/>
        <c:axPos val="b"/>
        <c:numFmt formatCode="_([$$-409]* #,##0_);_([$$-409]* \(#,##0\);_([$$-409]* &quot;-&quot;_);_(@_)" sourceLinked="1"/>
        <c:majorTickMark val="none"/>
        <c:minorTickMark val="none"/>
        <c:tickLblPos val="nextTo"/>
        <c:crossAx val="42798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tx1"/>
          </a:solidFill>
          <a:latin typeface="iA Writer Duo S"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673100</xdr:colOff>
      <xdr:row>3</xdr:row>
      <xdr:rowOff>56445</xdr:rowOff>
    </xdr:from>
    <xdr:to>
      <xdr:col>20</xdr:col>
      <xdr:colOff>508000</xdr:colOff>
      <xdr:row>7</xdr:row>
      <xdr:rowOff>155222</xdr:rowOff>
    </xdr:to>
    <xdr:sp macro="" textlink="">
      <xdr:nvSpPr>
        <xdr:cNvPr id="34" name="Rounded Rectangle 33">
          <a:extLst>
            <a:ext uri="{FF2B5EF4-FFF2-40B4-BE49-F238E27FC236}">
              <a16:creationId xmlns:a16="http://schemas.microsoft.com/office/drawing/2014/main" id="{4C55C13E-21F8-ABC3-95C1-EF576ADFD0DA}"/>
            </a:ext>
          </a:extLst>
        </xdr:cNvPr>
        <xdr:cNvSpPr/>
      </xdr:nvSpPr>
      <xdr:spPr>
        <a:xfrm>
          <a:off x="1039989" y="832556"/>
          <a:ext cx="15653455" cy="888999"/>
        </a:xfrm>
        <a:prstGeom prst="roundRect">
          <a:avLst/>
        </a:prstGeom>
        <a:solidFill>
          <a:schemeClr val="accent6">
            <a:lumMod val="40000"/>
            <a:lumOff val="60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495300</xdr:colOff>
      <xdr:row>14</xdr:row>
      <xdr:rowOff>169333</xdr:rowOff>
    </xdr:from>
    <xdr:to>
      <xdr:col>12</xdr:col>
      <xdr:colOff>533400</xdr:colOff>
      <xdr:row>49</xdr:row>
      <xdr:rowOff>177799</xdr:rowOff>
    </xdr:to>
    <xdr:sp macro="" textlink="">
      <xdr:nvSpPr>
        <xdr:cNvPr id="33" name="Rounded Rectangle 32">
          <a:extLst>
            <a:ext uri="{FF2B5EF4-FFF2-40B4-BE49-F238E27FC236}">
              <a16:creationId xmlns:a16="http://schemas.microsoft.com/office/drawing/2014/main" id="{62C57646-CB24-F74D-B9F9-6C31015811D1}"/>
            </a:ext>
          </a:extLst>
        </xdr:cNvPr>
        <xdr:cNvSpPr/>
      </xdr:nvSpPr>
      <xdr:spPr>
        <a:xfrm>
          <a:off x="862189" y="3118555"/>
          <a:ext cx="9196211" cy="6922911"/>
        </a:xfrm>
        <a:prstGeom prst="roundRect">
          <a:avLst/>
        </a:prstGeom>
        <a:solidFill>
          <a:schemeClr val="accent6">
            <a:lumMod val="40000"/>
            <a:lumOff val="60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773289</xdr:colOff>
      <xdr:row>29</xdr:row>
      <xdr:rowOff>98776</xdr:rowOff>
    </xdr:from>
    <xdr:to>
      <xdr:col>20</xdr:col>
      <xdr:colOff>735189</xdr:colOff>
      <xdr:row>49</xdr:row>
      <xdr:rowOff>141110</xdr:rowOff>
    </xdr:to>
    <xdr:sp macro="" textlink="">
      <xdr:nvSpPr>
        <xdr:cNvPr id="32" name="Rounded Rectangle 31">
          <a:extLst>
            <a:ext uri="{FF2B5EF4-FFF2-40B4-BE49-F238E27FC236}">
              <a16:creationId xmlns:a16="http://schemas.microsoft.com/office/drawing/2014/main" id="{70F0B925-38F5-4C4A-A823-29765E8A235E}"/>
            </a:ext>
          </a:extLst>
        </xdr:cNvPr>
        <xdr:cNvSpPr/>
      </xdr:nvSpPr>
      <xdr:spPr>
        <a:xfrm>
          <a:off x="10298289" y="6011332"/>
          <a:ext cx="6622344" cy="3993445"/>
        </a:xfrm>
        <a:prstGeom prst="roundRect">
          <a:avLst/>
        </a:prstGeom>
        <a:solidFill>
          <a:schemeClr val="accent6">
            <a:lumMod val="40000"/>
            <a:lumOff val="60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800100</xdr:colOff>
      <xdr:row>14</xdr:row>
      <xdr:rowOff>165100</xdr:rowOff>
    </xdr:from>
    <xdr:to>
      <xdr:col>20</xdr:col>
      <xdr:colOff>660400</xdr:colOff>
      <xdr:row>28</xdr:row>
      <xdr:rowOff>98778</xdr:rowOff>
    </xdr:to>
    <xdr:sp macro="" textlink="">
      <xdr:nvSpPr>
        <xdr:cNvPr id="31" name="Rounded Rectangle 30">
          <a:extLst>
            <a:ext uri="{FF2B5EF4-FFF2-40B4-BE49-F238E27FC236}">
              <a16:creationId xmlns:a16="http://schemas.microsoft.com/office/drawing/2014/main" id="{2CC9CFF3-5733-F62D-AA26-976D6ED51140}"/>
            </a:ext>
          </a:extLst>
        </xdr:cNvPr>
        <xdr:cNvSpPr/>
      </xdr:nvSpPr>
      <xdr:spPr>
        <a:xfrm>
          <a:off x="10325100" y="3114322"/>
          <a:ext cx="6520744" cy="2699456"/>
        </a:xfrm>
        <a:prstGeom prst="roundRect">
          <a:avLst/>
        </a:prstGeom>
        <a:solidFill>
          <a:schemeClr val="accent6">
            <a:lumMod val="40000"/>
            <a:lumOff val="60000"/>
            <a:alpha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380999</xdr:rowOff>
    </xdr:from>
    <xdr:to>
      <xdr:col>21</xdr:col>
      <xdr:colOff>366889</xdr:colOff>
      <xdr:row>51</xdr:row>
      <xdr:rowOff>169332</xdr:rowOff>
    </xdr:to>
    <xdr:sp macro="" textlink="">
      <xdr:nvSpPr>
        <xdr:cNvPr id="4" name="Alternate Process 3">
          <a:extLst>
            <a:ext uri="{FF2B5EF4-FFF2-40B4-BE49-F238E27FC236}">
              <a16:creationId xmlns:a16="http://schemas.microsoft.com/office/drawing/2014/main" id="{F587E10A-7B6E-FDC0-34BB-7E2AD7560C54}"/>
            </a:ext>
          </a:extLst>
        </xdr:cNvPr>
        <xdr:cNvSpPr/>
      </xdr:nvSpPr>
      <xdr:spPr>
        <a:xfrm>
          <a:off x="366889" y="380999"/>
          <a:ext cx="17018000" cy="10047111"/>
        </a:xfrm>
        <a:prstGeom prst="flowChartAlternateProcess">
          <a:avLst/>
        </a:prstGeom>
        <a:noFill/>
        <a:ln w="22225" cap="rnd">
          <a:solidFill>
            <a:schemeClr val="accent6">
              <a:lumMod val="50000"/>
              <a:alpha val="50000"/>
            </a:schemeClr>
          </a:solidFill>
          <a:round/>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200" b="0">
            <a:solidFill>
              <a:schemeClr val="tx1">
                <a:lumMod val="75000"/>
                <a:lumOff val="25000"/>
              </a:schemeClr>
            </a:solidFill>
            <a:latin typeface="Avenir Book" panose="02000503020000020003" pitchFamily="2" charset="0"/>
          </a:endParaRPr>
        </a:p>
      </xdr:txBody>
    </xdr:sp>
    <xdr:clientData/>
  </xdr:twoCellAnchor>
  <xdr:twoCellAnchor editAs="oneCell">
    <xdr:from>
      <xdr:col>1</xdr:col>
      <xdr:colOff>749299</xdr:colOff>
      <xdr:row>8</xdr:row>
      <xdr:rowOff>56444</xdr:rowOff>
    </xdr:from>
    <xdr:to>
      <xdr:col>9</xdr:col>
      <xdr:colOff>776109</xdr:colOff>
      <xdr:row>14</xdr:row>
      <xdr:rowOff>126999</xdr:rowOff>
    </xdr:to>
    <mc:AlternateContent xmlns:mc="http://schemas.openxmlformats.org/markup-compatibility/2006">
      <mc:Choice xmlns:tsle="http://schemas.microsoft.com/office/drawing/2012/timeslicer" Requires="tsle">
        <xdr:graphicFrame macro="">
          <xdr:nvGraphicFramePr>
            <xdr:cNvPr id="20" name="Order Date 2">
              <a:extLst>
                <a:ext uri="{FF2B5EF4-FFF2-40B4-BE49-F238E27FC236}">
                  <a16:creationId xmlns:a16="http://schemas.microsoft.com/office/drawing/2014/main" id="{FEC4ED92-A126-AAB9-F7EA-7AB894B5BB58}"/>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426632" y="2017888"/>
              <a:ext cx="6687255" cy="12558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26810</xdr:colOff>
      <xdr:row>10</xdr:row>
      <xdr:rowOff>29632</xdr:rowOff>
    </xdr:from>
    <xdr:to>
      <xdr:col>13</xdr:col>
      <xdr:colOff>483446</xdr:colOff>
      <xdr:row>13</xdr:row>
      <xdr:rowOff>29633</xdr:rowOff>
    </xdr:to>
    <mc:AlternateContent xmlns:mc="http://schemas.openxmlformats.org/markup-compatibility/2006">
      <mc:Choice xmlns:a14="http://schemas.microsoft.com/office/drawing/2010/main" Requires="a14">
        <xdr:graphicFrame macro="">
          <xdr:nvGraphicFramePr>
            <xdr:cNvPr id="23" name="Roast Type Name 3">
              <a:extLst>
                <a:ext uri="{FF2B5EF4-FFF2-40B4-BE49-F238E27FC236}">
                  <a16:creationId xmlns:a16="http://schemas.microsoft.com/office/drawing/2014/main" id="{7D8F48A1-F01F-9A6C-5356-126C2CCA2889}"/>
                </a:ext>
              </a:extLst>
            </xdr:cNvPr>
            <xdr:cNvGraphicFramePr/>
          </xdr:nvGraphicFramePr>
          <xdr:xfrm>
            <a:off x="0" y="0"/>
            <a:ext cx="0" cy="0"/>
          </xdr:xfrm>
          <a:graphic>
            <a:graphicData uri="http://schemas.microsoft.com/office/drawing/2010/slicer">
              <sle:slicer xmlns:sle="http://schemas.microsoft.com/office/drawing/2010/slicer" name="Roast Type Name 3"/>
            </a:graphicData>
          </a:graphic>
        </xdr:graphicFrame>
      </mc:Choice>
      <mc:Fallback>
        <xdr:sp macro="" textlink="">
          <xdr:nvSpPr>
            <xdr:cNvPr id="0" name=""/>
            <xdr:cNvSpPr>
              <a:spLocks noTextEdit="1"/>
            </xdr:cNvSpPr>
          </xdr:nvSpPr>
          <xdr:spPr>
            <a:xfrm>
              <a:off x="8197143" y="2386188"/>
              <a:ext cx="2954303" cy="592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119944</xdr:colOff>
      <xdr:row>10</xdr:row>
      <xdr:rowOff>31044</xdr:rowOff>
    </xdr:from>
    <xdr:to>
      <xdr:col>20</xdr:col>
      <xdr:colOff>576579</xdr:colOff>
      <xdr:row>13</xdr:row>
      <xdr:rowOff>31045</xdr:rowOff>
    </xdr:to>
    <mc:AlternateContent xmlns:mc="http://schemas.openxmlformats.org/markup-compatibility/2006">
      <mc:Choice xmlns:a14="http://schemas.microsoft.com/office/drawing/2010/main" Requires="a14">
        <xdr:graphicFrame macro="">
          <xdr:nvGraphicFramePr>
            <xdr:cNvPr id="24" name="Size 2">
              <a:extLst>
                <a:ext uri="{FF2B5EF4-FFF2-40B4-BE49-F238E27FC236}">
                  <a16:creationId xmlns:a16="http://schemas.microsoft.com/office/drawing/2014/main" id="{1B277C86-A3DB-2835-51D7-49BFE51F3D27}"/>
                </a:ext>
              </a:extLst>
            </xdr:cNvPr>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14118166" y="2387600"/>
              <a:ext cx="2954302" cy="592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506589</xdr:colOff>
      <xdr:row>10</xdr:row>
      <xdr:rowOff>29632</xdr:rowOff>
    </xdr:from>
    <xdr:to>
      <xdr:col>17</xdr:col>
      <xdr:colOff>129879</xdr:colOff>
      <xdr:row>13</xdr:row>
      <xdr:rowOff>31326</xdr:rowOff>
    </xdr:to>
    <mc:AlternateContent xmlns:mc="http://schemas.openxmlformats.org/markup-compatibility/2006">
      <mc:Choice xmlns:a14="http://schemas.microsoft.com/office/drawing/2010/main" Requires="a14">
        <xdr:graphicFrame macro="">
          <xdr:nvGraphicFramePr>
            <xdr:cNvPr id="25" name="Loyalty Card 2">
              <a:extLst>
                <a:ext uri="{FF2B5EF4-FFF2-40B4-BE49-F238E27FC236}">
                  <a16:creationId xmlns:a16="http://schemas.microsoft.com/office/drawing/2014/main" id="{FB6E3ACF-F40A-A61E-970A-70298979062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11174589" y="2386188"/>
              <a:ext cx="2953512"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800100</xdr:colOff>
      <xdr:row>15</xdr:row>
      <xdr:rowOff>76200</xdr:rowOff>
    </xdr:from>
    <xdr:to>
      <xdr:col>12</xdr:col>
      <xdr:colOff>431800</xdr:colOff>
      <xdr:row>48</xdr:row>
      <xdr:rowOff>165100</xdr:rowOff>
    </xdr:to>
    <xdr:graphicFrame macro="">
      <xdr:nvGraphicFramePr>
        <xdr:cNvPr id="26" name="Chart 25">
          <a:extLst>
            <a:ext uri="{FF2B5EF4-FFF2-40B4-BE49-F238E27FC236}">
              <a16:creationId xmlns:a16="http://schemas.microsoft.com/office/drawing/2014/main" id="{2A793F98-8574-9D35-BA75-2DAB9924B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127000</xdr:colOff>
      <xdr:row>15</xdr:row>
      <xdr:rowOff>50800</xdr:rowOff>
    </xdr:from>
    <xdr:to>
      <xdr:col>20</xdr:col>
      <xdr:colOff>520700</xdr:colOff>
      <xdr:row>27</xdr:row>
      <xdr:rowOff>169333</xdr:rowOff>
    </xdr:to>
    <xdr:graphicFrame macro="">
      <xdr:nvGraphicFramePr>
        <xdr:cNvPr id="27" name="Chart 26">
          <a:extLst>
            <a:ext uri="{FF2B5EF4-FFF2-40B4-BE49-F238E27FC236}">
              <a16:creationId xmlns:a16="http://schemas.microsoft.com/office/drawing/2014/main" id="{23CC46DC-D556-F4FE-C67E-3D745309F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88900</xdr:colOff>
      <xdr:row>30</xdr:row>
      <xdr:rowOff>14111</xdr:rowOff>
    </xdr:from>
    <xdr:to>
      <xdr:col>20</xdr:col>
      <xdr:colOff>660400</xdr:colOff>
      <xdr:row>48</xdr:row>
      <xdr:rowOff>169333</xdr:rowOff>
    </xdr:to>
    <xdr:graphicFrame macro="">
      <xdr:nvGraphicFramePr>
        <xdr:cNvPr id="28" name="Chart 27">
          <a:extLst>
            <a:ext uri="{FF2B5EF4-FFF2-40B4-BE49-F238E27FC236}">
              <a16:creationId xmlns:a16="http://schemas.microsoft.com/office/drawing/2014/main" id="{7FD61316-BBAB-F730-2EA9-A51F0411A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738011</xdr:colOff>
      <xdr:row>3</xdr:row>
      <xdr:rowOff>110066</xdr:rowOff>
    </xdr:from>
    <xdr:to>
      <xdr:col>6</xdr:col>
      <xdr:colOff>166511</xdr:colOff>
      <xdr:row>7</xdr:row>
      <xdr:rowOff>112889</xdr:rowOff>
    </xdr:to>
    <xdr:sp macro="" textlink="">
      <xdr:nvSpPr>
        <xdr:cNvPr id="30" name="TextBox 29">
          <a:extLst>
            <a:ext uri="{FF2B5EF4-FFF2-40B4-BE49-F238E27FC236}">
              <a16:creationId xmlns:a16="http://schemas.microsoft.com/office/drawing/2014/main" id="{6C766E98-1E0C-63F7-BCE1-357EF295997C}"/>
            </a:ext>
          </a:extLst>
        </xdr:cNvPr>
        <xdr:cNvSpPr txBox="1"/>
      </xdr:nvSpPr>
      <xdr:spPr>
        <a:xfrm>
          <a:off x="1104900" y="886177"/>
          <a:ext cx="3591278" cy="793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000" b="0" i="0">
              <a:solidFill>
                <a:schemeClr val="tx1"/>
              </a:solidFill>
              <a:latin typeface="Apple Garamond Light" panose="02000406080000020004" pitchFamily="2" charset="0"/>
            </a:rPr>
            <a:t>Coffee Sales</a:t>
          </a:r>
          <a:br>
            <a:rPr lang="en-US" sz="2000" b="1">
              <a:solidFill>
                <a:schemeClr val="tx1"/>
              </a:solidFill>
              <a:latin typeface="ACADEMY ENGRAVED LET PLAIN:1.0" panose="02000000000000000000" pitchFamily="2" charset="0"/>
            </a:rPr>
          </a:br>
          <a:r>
            <a:rPr lang="en-US" sz="1100" b="0">
              <a:solidFill>
                <a:schemeClr val="tx1">
                  <a:lumMod val="75000"/>
                  <a:lumOff val="25000"/>
                </a:schemeClr>
              </a:solidFill>
              <a:latin typeface="iA Writer Duo S" pitchFamily="2" charset="0"/>
            </a:rPr>
            <a:t>2019</a:t>
          </a:r>
          <a:r>
            <a:rPr lang="en-US" sz="1100" b="0" baseline="0">
              <a:solidFill>
                <a:schemeClr val="tx1">
                  <a:lumMod val="75000"/>
                  <a:lumOff val="25000"/>
                </a:schemeClr>
              </a:solidFill>
              <a:latin typeface="iA Writer Duo S" pitchFamily="2" charset="0"/>
            </a:rPr>
            <a:t> — 2022 Performance Overview</a:t>
          </a:r>
          <a:endParaRPr lang="en-US" sz="1100" b="0">
            <a:solidFill>
              <a:schemeClr val="tx1">
                <a:lumMod val="75000"/>
                <a:lumOff val="25000"/>
              </a:schemeClr>
            </a:solidFill>
            <a:latin typeface="iA Writer Duo S" pitchFamily="2" charset="0"/>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iya Ostrovska" refreshedDate="46036.691276041667" createdVersion="8" refreshedVersion="8" minRefreshableVersion="3" recordCount="1000" xr:uid="{EC2C5E50-6FDB-0A4B-A70C-C1BC0C3096B9}">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226499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B141A-7CA6-2B42-B0BB-69A7EBDE6E69}" name="TotalSales" cacheId="3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41"/>
  </dataFields>
  <chartFormats count="13">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 chart="17" format="16" series="1">
      <pivotArea type="data" outline="0" fieldPosition="0">
        <references count="2">
          <reference field="4294967294" count="1" selected="0">
            <x v="0"/>
          </reference>
          <reference field="13" count="1" selected="0">
            <x v="0"/>
          </reference>
        </references>
      </pivotArea>
    </chartFormat>
    <chartFormat chart="17" format="17" series="1">
      <pivotArea type="data" outline="0" fieldPosition="0">
        <references count="2">
          <reference field="4294967294" count="1" selected="0">
            <x v="0"/>
          </reference>
          <reference field="13" count="1" selected="0">
            <x v="1"/>
          </reference>
        </references>
      </pivotArea>
    </chartFormat>
    <chartFormat chart="17" format="18" series="1">
      <pivotArea type="data" outline="0" fieldPosition="0">
        <references count="2">
          <reference field="4294967294" count="1" selected="0">
            <x v="0"/>
          </reference>
          <reference field="13" count="1" selected="0">
            <x v="2"/>
          </reference>
        </references>
      </pivotArea>
    </chartFormat>
    <chartFormat chart="17" format="19" series="1">
      <pivotArea type="data" outline="0" fieldPosition="0">
        <references count="2">
          <reference field="4294967294" count="1" selected="0">
            <x v="0"/>
          </reference>
          <reference field="13" count="1" selected="0">
            <x v="3"/>
          </reference>
        </references>
      </pivotArea>
    </chartFormat>
    <chartFormat chart="17" format="20">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DD453-FD5D-B543-8896-AF50ACAA80EB}" name="TotalSales" cacheId="3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2">
    <chartFormat chart="14"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0A1CEE-8C8F-7A4D-A0AE-01AFE98AFE58}" name="TotalSales" cacheId="3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2">
    <chartFormat chart="10"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BC98C4D-B453-A044-A65B-DFD7FC568F2F}" sourceName="Size">
  <pivotTables>
    <pivotTable tabId="18" name="TotalSales"/>
    <pivotTable tabId="19" name="TotalSales"/>
    <pivotTable tabId="21" name="TotalSales"/>
  </pivotTables>
  <data>
    <tabular pivotCacheId="122649910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BC27997-F0B1-3341-8C50-FA51422D903C}" sourceName="Roast Type Name">
  <pivotTables>
    <pivotTable tabId="18" name="TotalSales"/>
    <pivotTable tabId="19" name="TotalSales"/>
    <pivotTable tabId="21" name="TotalSales"/>
  </pivotTables>
  <data>
    <tabular pivotCacheId="12264991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B7500A0-0167-B14B-A49C-EEBEEBBC94E6}" sourceName="Loyalty Card">
  <pivotTables>
    <pivotTable tabId="18" name="TotalSales"/>
    <pivotTable tabId="19" name="TotalSales"/>
    <pivotTable tabId="21" name="TotalSales"/>
  </pivotTables>
  <data>
    <tabular pivotCacheId="122649910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2" xr10:uid="{93ABF5E5-73B3-7941-8906-C6DE2FEFF260}" cache="Slicer_Size" caption="Size" columnCount="4" style="Minimal" rowHeight="230716"/>
  <slicer name="Roast Type Name 3" xr10:uid="{036CA68A-4840-824E-AE21-DF1FFAB4ED1F}" cache="Slicer_Roast_Type_Name" caption="Roast Type Name" columnCount="3" style="Minimal" rowHeight="230716"/>
  <slicer name="Loyalty Card 2" xr10:uid="{1F7C048D-F7A6-D843-A7B2-F4B15CBBD512}" cache="Slicer_Loyalty_Card" caption="Loyalty Card" columnCount="2" style="Minimal"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65387-F563-9D49-A595-E1DD5C117E5D}" name="Orders" displayName="Orders" ref="A1:P1001" totalsRowShown="0" headerRowDxfId="5">
  <autoFilter ref="A1:P1001" xr:uid="{F0465387-F563-9D49-A595-E1DD5C117E5D}"/>
  <tableColumns count="16">
    <tableColumn id="1" xr3:uid="{BBB233DC-B5CA-BC46-BA5D-7D176672CCBD}" name="Order ID" dataDxfId="15"/>
    <tableColumn id="2" xr3:uid="{08F1705E-045B-D745-9661-1667C8309BFA}" name="Order Date" dataDxfId="14"/>
    <tableColumn id="3" xr3:uid="{C1AE254E-70FB-A94B-B5CF-0FB6EBC81C36}" name="Customer ID" dataDxfId="13"/>
    <tableColumn id="4" xr3:uid="{44365DE4-7E17-0048-B203-198D18D08F7C}" name="Product ID"/>
    <tableColumn id="5" xr3:uid="{1C1E9BDB-6EEB-0447-A6D2-A798CD129661}" name="Quantity" dataDxfId="12"/>
    <tableColumn id="6" xr3:uid="{CF95A8C4-C9EE-F740-98AF-8C75BDB6CB70}" name="Customer Name" dataDxfId="11">
      <calculatedColumnFormula>_xlfn.XLOOKUP(C2,customers!$A$1:$A$1001,customers!$B$1:$B$1001,,0)</calculatedColumnFormula>
    </tableColumn>
    <tableColumn id="7" xr3:uid="{0870BFEA-FC71-E945-B53E-68B4CCFD6BFB}" name="Email" dataDxfId="10">
      <calculatedColumnFormula>IF(_xlfn.XLOOKUP(C2,customers!$A$1:$A$1001,customers!$C$1:$C$1001,,0)=0,"",_xlfn.XLOOKUP(C2,customers!$A$1:$A$1001,customers!$C$1:$C$1001,,0))</calculatedColumnFormula>
    </tableColumn>
    <tableColumn id="8" xr3:uid="{B448AEBD-63FC-EC4B-9A6E-A35AF436DBEE}" name="Country" dataDxfId="9">
      <calculatedColumnFormula>_xlfn.XLOOKUP(C2,customers!$A$1:$A$1001,customers!$G$1:$G$1001,,0)</calculatedColumnFormula>
    </tableColumn>
    <tableColumn id="9" xr3:uid="{5D094F36-215F-5C47-8D1F-5915F063A88A}" name="Coffee Type">
      <calculatedColumnFormula>INDEX(products!$A$1:$G$49,MATCH($D2,products!$A$1:$A$49,0),MATCH(orders!I$1,products!$A$1:$G$1,0))</calculatedColumnFormula>
    </tableColumn>
    <tableColumn id="10" xr3:uid="{EDD55160-0A22-BA4E-8663-DBC7C7F04246}" name="Roast Type">
      <calculatedColumnFormula>INDEX(products!$A$1:$G$49,MATCH($D2,products!$A$1:$A$49,0),MATCH(orders!J$1,products!$A$1:$G$1,0))</calculatedColumnFormula>
    </tableColumn>
    <tableColumn id="11" xr3:uid="{82D8C08F-3982-CE4E-AC1B-3A56F2AC7F89}" name="Size" dataDxfId="8">
      <calculatedColumnFormula>INDEX(products!$A$1:$G$49,MATCH($D2,products!$A$1:$A$49,0),MATCH(orders!K$1,products!$A$1:$G$1,0))</calculatedColumnFormula>
    </tableColumn>
    <tableColumn id="12" xr3:uid="{D42893F6-7FBF-E148-B1DB-EB2D1AB0098C}" name="Unit Price" dataDxfId="7">
      <calculatedColumnFormula>INDEX(products!$A$1:$G$49,MATCH($D2,products!$A$1:$A$49,0),MATCH(orders!L$1,products!$A$1:$G$1,0))</calculatedColumnFormula>
    </tableColumn>
    <tableColumn id="13" xr3:uid="{DDFF603F-7A58-FD48-B01D-6D0F3371E0BF}" name="Sales" dataDxfId="6">
      <calculatedColumnFormula>L2*E2</calculatedColumnFormula>
    </tableColumn>
    <tableColumn id="14" xr3:uid="{08396581-4178-2043-980F-4D85D7D1E394}" name="Coffee Type Name">
      <calculatedColumnFormula>IF(I2="Rob","Robusta",IF(I2="Exc","Excelsa",IF(I2="Ara","Arabica",IF(I2="Lib","Liberica",""))))</calculatedColumnFormula>
    </tableColumn>
    <tableColumn id="15" xr3:uid="{1903F9D6-C43C-4B4F-B9B8-BCAC1D3D0AA7}" name="Roast Type Name">
      <calculatedColumnFormula>IF(J2="M","Medium",IF(J2="L","Light",IF(J2="D","Dark","")))</calculatedColumnFormula>
    </tableColumn>
    <tableColumn id="16" xr3:uid="{5DB834EE-DDF5-7D49-914F-F9D60D6AA9A1}" name="Loyalty Card" dataDxfId="4">
      <calculatedColumnFormula>_xlfn.XLOOKUP(Orders[[#This Row],[Customer ID]],customers!$A$1:$A$1001,customers!$I$1:$I$1001,,0)</calculatedColumnFormula>
    </tableColumn>
  </tableColumns>
  <tableStyleInfo name="TableStyleLight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09148E-79B0-D749-99B2-AE728AB50F16}" sourceName="Order Date">
  <pivotTables>
    <pivotTable tabId="18" name="TotalSales"/>
    <pivotTable tabId="19" name="TotalSales"/>
    <pivotTable tabId="21" name="TotalSales"/>
  </pivotTables>
  <state minimalRefreshVersion="6" lastRefreshVersion="6" pivotCacheId="122649910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B4911485-F659-C84F-BA1B-44732B6EBF0D}" cache="NativeTimeline_Order_Date" caption="Order Date" showSelectionLabel="0" showTimeLevel="0" level="2" selectionLevel="2" scrollPosition="2019-01-01T00:00:00" style="Minimal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8DFB1-965C-024F-B7F4-A4435112A78F}">
  <dimension ref="A1"/>
  <sheetViews>
    <sheetView showGridLines="0" tabSelected="1" zoomScale="90" zoomScaleNormal="90" workbookViewId="0">
      <selection activeCell="W32" sqref="W32"/>
    </sheetView>
  </sheetViews>
  <sheetFormatPr baseColWidth="10" defaultRowHeight="15" x14ac:dyDescent="0.2"/>
  <cols>
    <col min="1" max="1" width="8.83203125" customWidth="1"/>
  </cols>
  <sheetData>
    <row r="1" ht="4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5361F-E930-B94F-9E67-F6AE48376468}">
  <dimension ref="A3:F48"/>
  <sheetViews>
    <sheetView workbookViewId="0">
      <selection activeCell="P12" sqref="P12"/>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8">
        <v>186.85499999999999</v>
      </c>
      <c r="D5" s="8">
        <v>305.97000000000003</v>
      </c>
      <c r="E5" s="8">
        <v>213.15999999999997</v>
      </c>
      <c r="F5" s="8">
        <v>123</v>
      </c>
    </row>
    <row r="6" spans="1:6" x14ac:dyDescent="0.2">
      <c r="B6" t="s">
        <v>6203</v>
      </c>
      <c r="C6" s="8">
        <v>251.96499999999997</v>
      </c>
      <c r="D6" s="8">
        <v>129.46</v>
      </c>
      <c r="E6" s="8">
        <v>434.03999999999996</v>
      </c>
      <c r="F6" s="8">
        <v>171.93999999999997</v>
      </c>
    </row>
    <row r="7" spans="1:6" x14ac:dyDescent="0.2">
      <c r="B7" t="s">
        <v>6204</v>
      </c>
      <c r="C7" s="8">
        <v>224.94499999999999</v>
      </c>
      <c r="D7" s="8">
        <v>349.12</v>
      </c>
      <c r="E7" s="8">
        <v>321.04000000000002</v>
      </c>
      <c r="F7" s="8">
        <v>126.035</v>
      </c>
    </row>
    <row r="8" spans="1:6" x14ac:dyDescent="0.2">
      <c r="B8" t="s">
        <v>6205</v>
      </c>
      <c r="C8" s="8">
        <v>307.12</v>
      </c>
      <c r="D8" s="8">
        <v>681.07499999999993</v>
      </c>
      <c r="E8" s="8">
        <v>533.70499999999993</v>
      </c>
      <c r="F8" s="8">
        <v>158.85</v>
      </c>
    </row>
    <row r="9" spans="1:6" x14ac:dyDescent="0.2">
      <c r="B9" t="s">
        <v>6206</v>
      </c>
      <c r="C9" s="8">
        <v>53.664999999999992</v>
      </c>
      <c r="D9" s="8">
        <v>83.025000000000006</v>
      </c>
      <c r="E9" s="8">
        <v>193.83499999999998</v>
      </c>
      <c r="F9" s="8">
        <v>68.039999999999992</v>
      </c>
    </row>
    <row r="10" spans="1:6" x14ac:dyDescent="0.2">
      <c r="B10" t="s">
        <v>6207</v>
      </c>
      <c r="C10" s="8">
        <v>163.01999999999998</v>
      </c>
      <c r="D10" s="8">
        <v>678.3599999999999</v>
      </c>
      <c r="E10" s="8">
        <v>171.04500000000002</v>
      </c>
      <c r="F10" s="8">
        <v>372.255</v>
      </c>
    </row>
    <row r="11" spans="1:6" x14ac:dyDescent="0.2">
      <c r="B11" t="s">
        <v>6208</v>
      </c>
      <c r="C11" s="8">
        <v>345.02</v>
      </c>
      <c r="D11" s="8">
        <v>273.86999999999995</v>
      </c>
      <c r="E11" s="8">
        <v>184.12999999999997</v>
      </c>
      <c r="F11" s="8">
        <v>201.11499999999998</v>
      </c>
    </row>
    <row r="12" spans="1:6" x14ac:dyDescent="0.2">
      <c r="B12" t="s">
        <v>6209</v>
      </c>
      <c r="C12" s="8">
        <v>334.89</v>
      </c>
      <c r="D12" s="8">
        <v>70.95</v>
      </c>
      <c r="E12" s="8">
        <v>134.23000000000002</v>
      </c>
      <c r="F12" s="8">
        <v>166.27499999999998</v>
      </c>
    </row>
    <row r="13" spans="1:6" x14ac:dyDescent="0.2">
      <c r="B13" t="s">
        <v>6210</v>
      </c>
      <c r="C13" s="8">
        <v>178.70999999999998</v>
      </c>
      <c r="D13" s="8">
        <v>166.1</v>
      </c>
      <c r="E13" s="8">
        <v>439.30999999999995</v>
      </c>
      <c r="F13" s="8">
        <v>492.9</v>
      </c>
    </row>
    <row r="14" spans="1:6" x14ac:dyDescent="0.2">
      <c r="B14" t="s">
        <v>6211</v>
      </c>
      <c r="C14" s="8">
        <v>301.98500000000001</v>
      </c>
      <c r="D14" s="8">
        <v>153.76499999999999</v>
      </c>
      <c r="E14" s="8">
        <v>215.55499999999998</v>
      </c>
      <c r="F14" s="8">
        <v>213.66499999999999</v>
      </c>
    </row>
    <row r="15" spans="1:6" x14ac:dyDescent="0.2">
      <c r="B15" t="s">
        <v>6212</v>
      </c>
      <c r="C15" s="8">
        <v>312.83499999999998</v>
      </c>
      <c r="D15" s="8">
        <v>63.249999999999993</v>
      </c>
      <c r="E15" s="8">
        <v>350.89500000000004</v>
      </c>
      <c r="F15" s="8">
        <v>96.405000000000001</v>
      </c>
    </row>
    <row r="16" spans="1:6" x14ac:dyDescent="0.2">
      <c r="B16" t="s">
        <v>6213</v>
      </c>
      <c r="C16" s="8">
        <v>265.62</v>
      </c>
      <c r="D16" s="8">
        <v>526.51499999999987</v>
      </c>
      <c r="E16" s="8">
        <v>187.06</v>
      </c>
      <c r="F16" s="8">
        <v>210.58999999999997</v>
      </c>
    </row>
    <row r="17" spans="1:6" x14ac:dyDescent="0.2">
      <c r="A17" t="s">
        <v>6199</v>
      </c>
      <c r="B17" t="s">
        <v>6202</v>
      </c>
      <c r="C17" s="8">
        <v>47.25</v>
      </c>
      <c r="D17" s="8">
        <v>65.805000000000007</v>
      </c>
      <c r="E17" s="8">
        <v>274.67500000000001</v>
      </c>
      <c r="F17" s="8">
        <v>179.22</v>
      </c>
    </row>
    <row r="18" spans="1:6" x14ac:dyDescent="0.2">
      <c r="B18" t="s">
        <v>6203</v>
      </c>
      <c r="C18" s="8">
        <v>745.44999999999993</v>
      </c>
      <c r="D18" s="8">
        <v>428.88499999999999</v>
      </c>
      <c r="E18" s="8">
        <v>194.17499999999998</v>
      </c>
      <c r="F18" s="8">
        <v>429.82999999999993</v>
      </c>
    </row>
    <row r="19" spans="1:6" x14ac:dyDescent="0.2">
      <c r="B19" t="s">
        <v>6204</v>
      </c>
      <c r="C19" s="8">
        <v>130.47</v>
      </c>
      <c r="D19" s="8">
        <v>271.48500000000001</v>
      </c>
      <c r="E19" s="8">
        <v>281.20499999999998</v>
      </c>
      <c r="F19" s="8">
        <v>231.63000000000002</v>
      </c>
    </row>
    <row r="20" spans="1:6" x14ac:dyDescent="0.2">
      <c r="B20" t="s">
        <v>6205</v>
      </c>
      <c r="C20" s="8">
        <v>27</v>
      </c>
      <c r="D20" s="8">
        <v>347.26</v>
      </c>
      <c r="E20" s="8">
        <v>147.51</v>
      </c>
      <c r="F20" s="8">
        <v>240.04</v>
      </c>
    </row>
    <row r="21" spans="1:6" x14ac:dyDescent="0.2">
      <c r="B21" t="s">
        <v>6206</v>
      </c>
      <c r="C21" s="8">
        <v>255.11499999999995</v>
      </c>
      <c r="D21" s="8">
        <v>541.73</v>
      </c>
      <c r="E21" s="8">
        <v>83.43</v>
      </c>
      <c r="F21" s="8">
        <v>59.079999999999991</v>
      </c>
    </row>
    <row r="22" spans="1:6" x14ac:dyDescent="0.2">
      <c r="B22" t="s">
        <v>6207</v>
      </c>
      <c r="C22" s="8">
        <v>584.78999999999985</v>
      </c>
      <c r="D22" s="8">
        <v>357.42999999999995</v>
      </c>
      <c r="E22" s="8">
        <v>355.34</v>
      </c>
      <c r="F22" s="8">
        <v>140.88</v>
      </c>
    </row>
    <row r="23" spans="1:6" x14ac:dyDescent="0.2">
      <c r="B23" t="s">
        <v>6208</v>
      </c>
      <c r="C23" s="8">
        <v>430.62</v>
      </c>
      <c r="D23" s="8">
        <v>227.42500000000001</v>
      </c>
      <c r="E23" s="8">
        <v>236.315</v>
      </c>
      <c r="F23" s="8">
        <v>414.58499999999992</v>
      </c>
    </row>
    <row r="24" spans="1:6" x14ac:dyDescent="0.2">
      <c r="B24" t="s">
        <v>6209</v>
      </c>
      <c r="C24" s="8">
        <v>22.5</v>
      </c>
      <c r="D24" s="8">
        <v>77.72</v>
      </c>
      <c r="E24" s="8">
        <v>60.5</v>
      </c>
      <c r="F24" s="8">
        <v>139.67999999999998</v>
      </c>
    </row>
    <row r="25" spans="1:6" x14ac:dyDescent="0.2">
      <c r="B25" t="s">
        <v>6210</v>
      </c>
      <c r="C25" s="8">
        <v>126.14999999999999</v>
      </c>
      <c r="D25" s="8">
        <v>195.11</v>
      </c>
      <c r="E25" s="8">
        <v>89.13</v>
      </c>
      <c r="F25" s="8">
        <v>302.65999999999997</v>
      </c>
    </row>
    <row r="26" spans="1:6" x14ac:dyDescent="0.2">
      <c r="B26" t="s">
        <v>6211</v>
      </c>
      <c r="C26" s="8">
        <v>376.03</v>
      </c>
      <c r="D26" s="8">
        <v>523.24</v>
      </c>
      <c r="E26" s="8">
        <v>440.96499999999997</v>
      </c>
      <c r="F26" s="8">
        <v>174.46999999999997</v>
      </c>
    </row>
    <row r="27" spans="1:6" x14ac:dyDescent="0.2">
      <c r="B27" t="s">
        <v>6212</v>
      </c>
      <c r="C27" s="8">
        <v>515.17999999999995</v>
      </c>
      <c r="D27" s="8">
        <v>142.56</v>
      </c>
      <c r="E27" s="8">
        <v>347.03999999999996</v>
      </c>
      <c r="F27" s="8">
        <v>104.08499999999999</v>
      </c>
    </row>
    <row r="28" spans="1:6" x14ac:dyDescent="0.2">
      <c r="B28" t="s">
        <v>6213</v>
      </c>
      <c r="C28" s="8">
        <v>95.859999999999985</v>
      </c>
      <c r="D28" s="8">
        <v>484.76</v>
      </c>
      <c r="E28" s="8">
        <v>94.17</v>
      </c>
      <c r="F28" s="8">
        <v>77.10499999999999</v>
      </c>
    </row>
    <row r="29" spans="1:6" x14ac:dyDescent="0.2">
      <c r="A29" t="s">
        <v>6200</v>
      </c>
      <c r="B29" t="s">
        <v>6202</v>
      </c>
      <c r="C29" s="8">
        <v>258.34500000000003</v>
      </c>
      <c r="D29" s="8">
        <v>139.625</v>
      </c>
      <c r="E29" s="8">
        <v>279.52000000000004</v>
      </c>
      <c r="F29" s="8">
        <v>160.19499999999999</v>
      </c>
    </row>
    <row r="30" spans="1:6" x14ac:dyDescent="0.2">
      <c r="B30" t="s">
        <v>6203</v>
      </c>
      <c r="C30" s="8">
        <v>342.2</v>
      </c>
      <c r="D30" s="8">
        <v>284.24999999999994</v>
      </c>
      <c r="E30" s="8">
        <v>251.83</v>
      </c>
      <c r="F30" s="8">
        <v>80.550000000000011</v>
      </c>
    </row>
    <row r="31" spans="1:6" x14ac:dyDescent="0.2">
      <c r="B31" t="s">
        <v>6204</v>
      </c>
      <c r="C31" s="8">
        <v>418.30499999999989</v>
      </c>
      <c r="D31" s="8">
        <v>468.125</v>
      </c>
      <c r="E31" s="8">
        <v>405.05500000000006</v>
      </c>
      <c r="F31" s="8">
        <v>253.15499999999997</v>
      </c>
    </row>
    <row r="32" spans="1:6" x14ac:dyDescent="0.2">
      <c r="B32" t="s">
        <v>6205</v>
      </c>
      <c r="C32" s="8">
        <v>102.32999999999998</v>
      </c>
      <c r="D32" s="8">
        <v>242.14000000000001</v>
      </c>
      <c r="E32" s="8">
        <v>554.875</v>
      </c>
      <c r="F32" s="8">
        <v>106.23999999999998</v>
      </c>
    </row>
    <row r="33" spans="1:6" x14ac:dyDescent="0.2">
      <c r="B33" t="s">
        <v>6206</v>
      </c>
      <c r="C33" s="8">
        <v>234.71999999999997</v>
      </c>
      <c r="D33" s="8">
        <v>133.08000000000001</v>
      </c>
      <c r="E33" s="8">
        <v>267.2</v>
      </c>
      <c r="F33" s="8">
        <v>272.68999999999994</v>
      </c>
    </row>
    <row r="34" spans="1:6" x14ac:dyDescent="0.2">
      <c r="B34" t="s">
        <v>6207</v>
      </c>
      <c r="C34" s="8">
        <v>430.39</v>
      </c>
      <c r="D34" s="8">
        <v>136.20500000000001</v>
      </c>
      <c r="E34" s="8">
        <v>209.6</v>
      </c>
      <c r="F34" s="8">
        <v>88.334999999999994</v>
      </c>
    </row>
    <row r="35" spans="1:6" x14ac:dyDescent="0.2">
      <c r="B35" t="s">
        <v>6208</v>
      </c>
      <c r="C35" s="8">
        <v>109.005</v>
      </c>
      <c r="D35" s="8">
        <v>393.57499999999999</v>
      </c>
      <c r="E35" s="8">
        <v>61.034999999999997</v>
      </c>
      <c r="F35" s="8">
        <v>199.48999999999998</v>
      </c>
    </row>
    <row r="36" spans="1:6" x14ac:dyDescent="0.2">
      <c r="B36" t="s">
        <v>6209</v>
      </c>
      <c r="C36" s="8">
        <v>287.52499999999998</v>
      </c>
      <c r="D36" s="8">
        <v>288.67</v>
      </c>
      <c r="E36" s="8">
        <v>125.58</v>
      </c>
      <c r="F36" s="8">
        <v>374.13499999999999</v>
      </c>
    </row>
    <row r="37" spans="1:6" x14ac:dyDescent="0.2">
      <c r="B37" t="s">
        <v>6210</v>
      </c>
      <c r="C37" s="8">
        <v>840.92999999999984</v>
      </c>
      <c r="D37" s="8">
        <v>409.875</v>
      </c>
      <c r="E37" s="8">
        <v>171.32999999999998</v>
      </c>
      <c r="F37" s="8">
        <v>221.43999999999997</v>
      </c>
    </row>
    <row r="38" spans="1:6" x14ac:dyDescent="0.2">
      <c r="B38" t="s">
        <v>6211</v>
      </c>
      <c r="C38" s="8">
        <v>299.07</v>
      </c>
      <c r="D38" s="8">
        <v>260.32499999999999</v>
      </c>
      <c r="E38" s="8">
        <v>584.64</v>
      </c>
      <c r="F38" s="8">
        <v>256.36500000000001</v>
      </c>
    </row>
    <row r="39" spans="1:6" x14ac:dyDescent="0.2">
      <c r="B39" t="s">
        <v>6212</v>
      </c>
      <c r="C39" s="8">
        <v>323.32499999999999</v>
      </c>
      <c r="D39" s="8">
        <v>565.57000000000005</v>
      </c>
      <c r="E39" s="8">
        <v>537.80999999999995</v>
      </c>
      <c r="F39" s="8">
        <v>189.47499999999999</v>
      </c>
    </row>
    <row r="40" spans="1:6" x14ac:dyDescent="0.2">
      <c r="B40" t="s">
        <v>6213</v>
      </c>
      <c r="C40" s="8">
        <v>399.48499999999996</v>
      </c>
      <c r="D40" s="8">
        <v>148.19999999999999</v>
      </c>
      <c r="E40" s="8">
        <v>388.21999999999997</v>
      </c>
      <c r="F40" s="8">
        <v>212.07499999999999</v>
      </c>
    </row>
    <row r="41" spans="1:6" x14ac:dyDescent="0.2">
      <c r="A41" t="s">
        <v>6201</v>
      </c>
      <c r="B41" t="s">
        <v>6202</v>
      </c>
      <c r="C41" s="8">
        <v>112.69499999999999</v>
      </c>
      <c r="D41" s="8">
        <v>166.32</v>
      </c>
      <c r="E41" s="8">
        <v>843.71499999999992</v>
      </c>
      <c r="F41" s="8">
        <v>146.685</v>
      </c>
    </row>
    <row r="42" spans="1:6" x14ac:dyDescent="0.2">
      <c r="B42" t="s">
        <v>6203</v>
      </c>
      <c r="C42" s="8">
        <v>114.87999999999998</v>
      </c>
      <c r="D42" s="8">
        <v>133.815</v>
      </c>
      <c r="E42" s="8">
        <v>91.175000000000011</v>
      </c>
      <c r="F42" s="8">
        <v>53.759999999999991</v>
      </c>
    </row>
    <row r="43" spans="1:6" x14ac:dyDescent="0.2">
      <c r="B43" t="s">
        <v>6204</v>
      </c>
      <c r="C43" s="8">
        <v>277.76</v>
      </c>
      <c r="D43" s="8">
        <v>175.41</v>
      </c>
      <c r="E43" s="8">
        <v>462.50999999999993</v>
      </c>
      <c r="F43" s="8">
        <v>399.52499999999998</v>
      </c>
    </row>
    <row r="44" spans="1:6" x14ac:dyDescent="0.2">
      <c r="B44" t="s">
        <v>6205</v>
      </c>
      <c r="C44" s="8">
        <v>197.89499999999998</v>
      </c>
      <c r="D44" s="8">
        <v>289.755</v>
      </c>
      <c r="E44" s="8">
        <v>88.545000000000002</v>
      </c>
      <c r="F44" s="8">
        <v>200.25499999999997</v>
      </c>
    </row>
    <row r="45" spans="1:6" x14ac:dyDescent="0.2">
      <c r="B45" t="s">
        <v>6206</v>
      </c>
      <c r="C45" s="8">
        <v>193.11499999999998</v>
      </c>
      <c r="D45" s="8">
        <v>212.49499999999998</v>
      </c>
      <c r="E45" s="8">
        <v>292.29000000000002</v>
      </c>
      <c r="F45" s="8">
        <v>304.46999999999997</v>
      </c>
    </row>
    <row r="46" spans="1:6" x14ac:dyDescent="0.2">
      <c r="B46" t="s">
        <v>6207</v>
      </c>
      <c r="C46" s="8">
        <v>179.79</v>
      </c>
      <c r="D46" s="8">
        <v>426.2</v>
      </c>
      <c r="E46" s="8">
        <v>170.08999999999997</v>
      </c>
      <c r="F46" s="8">
        <v>379.31</v>
      </c>
    </row>
    <row r="47" spans="1:6" x14ac:dyDescent="0.2">
      <c r="B47" t="s">
        <v>6208</v>
      </c>
      <c r="C47" s="8">
        <v>247.28999999999996</v>
      </c>
      <c r="D47" s="8">
        <v>246.685</v>
      </c>
      <c r="E47" s="8">
        <v>271.05499999999995</v>
      </c>
      <c r="F47" s="8">
        <v>141.69999999999999</v>
      </c>
    </row>
    <row r="48" spans="1:6" x14ac:dyDescent="0.2">
      <c r="B48" t="s">
        <v>6209</v>
      </c>
      <c r="C48" s="8">
        <v>116.39499999999998</v>
      </c>
      <c r="D48" s="8">
        <v>41.25</v>
      </c>
      <c r="E48" s="8">
        <v>15.54</v>
      </c>
      <c r="F48" s="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7861-AE82-2646-9BC8-836D763D81FD}">
  <dimension ref="A3:B6"/>
  <sheetViews>
    <sheetView topLeftCell="A2" zoomScaleNormal="100" workbookViewId="0">
      <selection activeCell="B4" sqref="B4"/>
    </sheetView>
  </sheetViews>
  <sheetFormatPr baseColWidth="10" defaultRowHeight="15" x14ac:dyDescent="0.2"/>
  <cols>
    <col min="1" max="1" width="13.5" bestFit="1" customWidth="1"/>
    <col min="2" max="2" width="10.5" bestFit="1" customWidth="1"/>
    <col min="3" max="6" width="7.33203125" bestFit="1" customWidth="1"/>
  </cols>
  <sheetData>
    <row r="3" spans="1:2" x14ac:dyDescent="0.2">
      <c r="A3" s="6" t="s">
        <v>7</v>
      </c>
      <c r="B3" t="s">
        <v>6220</v>
      </c>
    </row>
    <row r="4" spans="1:2" x14ac:dyDescent="0.2">
      <c r="A4" t="s">
        <v>28</v>
      </c>
      <c r="B4" s="7">
        <v>2798.5050000000001</v>
      </c>
    </row>
    <row r="5" spans="1:2" x14ac:dyDescent="0.2">
      <c r="A5" t="s">
        <v>318</v>
      </c>
      <c r="B5" s="7">
        <v>6696.8649999999989</v>
      </c>
    </row>
    <row r="6" spans="1:2" x14ac:dyDescent="0.2">
      <c r="A6" t="s">
        <v>19</v>
      </c>
      <c r="B6" s="7">
        <v>35638.88499999998</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6948E-88B7-7C43-A4BA-94C4090778DF}">
  <dimension ref="A3:B8"/>
  <sheetViews>
    <sheetView topLeftCell="A2" zoomScaleNormal="100" workbookViewId="0">
      <selection activeCell="B6" sqref="B6"/>
    </sheetView>
  </sheetViews>
  <sheetFormatPr baseColWidth="10" defaultRowHeight="15" x14ac:dyDescent="0.2"/>
  <cols>
    <col min="1" max="1" width="16" bestFit="1" customWidth="1"/>
    <col min="2" max="2" width="10.5" bestFit="1" customWidth="1"/>
    <col min="3" max="6" width="7.33203125" bestFit="1" customWidth="1"/>
  </cols>
  <sheetData>
    <row r="3" spans="1:2" x14ac:dyDescent="0.2">
      <c r="A3" s="6" t="s">
        <v>4</v>
      </c>
      <c r="B3" t="s">
        <v>6220</v>
      </c>
    </row>
    <row r="4" spans="1:2" x14ac:dyDescent="0.2">
      <c r="A4" t="s">
        <v>3753</v>
      </c>
      <c r="B4" s="7">
        <v>278.01</v>
      </c>
    </row>
    <row r="5" spans="1:2" x14ac:dyDescent="0.2">
      <c r="A5" t="s">
        <v>1598</v>
      </c>
      <c r="B5" s="7">
        <v>281.67499999999995</v>
      </c>
    </row>
    <row r="6" spans="1:2" x14ac:dyDescent="0.2">
      <c r="A6" t="s">
        <v>2587</v>
      </c>
      <c r="B6" s="7">
        <v>289.11</v>
      </c>
    </row>
    <row r="7" spans="1:2" x14ac:dyDescent="0.2">
      <c r="A7" t="s">
        <v>5765</v>
      </c>
      <c r="B7" s="7">
        <v>307.04499999999996</v>
      </c>
    </row>
    <row r="8" spans="1:2" x14ac:dyDescent="0.2">
      <c r="A8" t="s">
        <v>5114</v>
      </c>
      <c r="B8" s="7">
        <v>317.06999999999994</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C12" sqref="C12"/>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16.1640625" customWidth="1"/>
    <col min="7" max="7" width="33.83203125" bestFit="1" customWidth="1"/>
    <col min="8" max="8" width="13.5" bestFit="1" customWidth="1"/>
    <col min="9" max="9" width="12.5" customWidth="1"/>
    <col min="10" max="10" width="11.6640625" customWidth="1"/>
    <col min="11" max="11" width="6.1640625" customWidth="1"/>
    <col min="12" max="12" width="10.6640625" customWidth="1"/>
    <col min="13" max="13" width="8.6640625" bestFit="1" customWidth="1"/>
    <col min="14" max="14" width="17.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INDEX(products!$A$1:$G$49,MATCH($D2,products!$A$1:$A$49,0),MATCH(orders!I$1,products!$A$1:$G$1,0))</f>
        <v>Rob</v>
      </c>
      <c r="J2" t="str">
        <f>INDEX(products!$A$1:$G$49,MATCH($D2,products!$A$1:$A$49,0),MATCH(orders!J$1,products!$A$1:$G$1,0))</f>
        <v>M</v>
      </c>
      <c r="K2" s="4">
        <f>INDEX(products!$A$1:$G$49,MATCH($D2,products!$A$1:$A$49,0),MATCH(orders!K$1,products!$A$1:$G$1,0))</f>
        <v>1</v>
      </c>
      <c r="L2" s="5">
        <f>INDEX(products!$A$1:$G$49,MATCH($D2,products!$A$1:$A$49,0),MATCH(orders!L$1,products!$A$1:$G$1,0))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INDEX(products!$A$1:$G$49,MATCH($D3,products!$A$1:$A$49,0),MATCH(orders!I$1,products!$A$1:$G$1,0))</f>
        <v>Exc</v>
      </c>
      <c r="J3" t="str">
        <f>INDEX(products!$A$1:$G$49,MATCH($D3,products!$A$1:$A$49,0),MATCH(orders!J$1,products!$A$1:$G$1,0))</f>
        <v>M</v>
      </c>
      <c r="K3" s="4">
        <f>INDEX(products!$A$1:$G$49,MATCH($D3,products!$A$1:$A$49,0),MATCH(orders!K$1,products!$A$1:$G$1,0))</f>
        <v>0.5</v>
      </c>
      <c r="L3" s="5">
        <f>INDEX(products!$A$1:$G$49,MATCH($D3,products!$A$1:$A$49,0),MATCH(orders!L$1,products!$A$1:$G$1,0))</f>
        <v>8.25</v>
      </c>
      <c r="M3" s="5">
        <f t="shared" ref="M3:M66" si="0">L3*E3</f>
        <v>41.25</v>
      </c>
      <c r="N3" t="str">
        <f>IF(I3="Rob","Robusta",IF(I3="Exc","Excelsa",IF(I3="Ara","Arabica",IF(I3="Lib","Liberica",""))))</f>
        <v>Excelsa</v>
      </c>
      <c r="O3" t="str">
        <f t="shared" ref="O3:O66" si="1">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INDEX(products!$A$1:$G$49,MATCH($D4,products!$A$1:$A$49,0),MATCH(orders!I$1,products!$A$1:$G$1,0))</f>
        <v>Ara</v>
      </c>
      <c r="J4" t="str">
        <f>INDEX(products!$A$1:$G$49,MATCH($D4,products!$A$1:$A$49,0),MATCH(orders!J$1,products!$A$1:$G$1,0))</f>
        <v>L</v>
      </c>
      <c r="K4" s="4">
        <f>INDEX(products!$A$1:$G$49,MATCH($D4,products!$A$1:$A$49,0),MATCH(orders!K$1,products!$A$1:$G$1,0))</f>
        <v>1</v>
      </c>
      <c r="L4" s="5">
        <f>INDEX(products!$A$1:$G$49,MATCH($D4,products!$A$1:$A$49,0),MATCH(orders!L$1,products!$A$1:$G$1,0))</f>
        <v>12.95</v>
      </c>
      <c r="M4" s="5">
        <f t="shared" si="0"/>
        <v>12.95</v>
      </c>
      <c r="N4" t="str">
        <f>IF(I4="Rob","Robusta",IF(I4="Exc","Excelsa",IF(I4="Ara","Arabica",IF(I4="Lib","Liberica",""))))</f>
        <v>Arabica</v>
      </c>
      <c r="O4" t="str">
        <f t="shared" si="1"/>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INDEX(products!$A$1:$G$49,MATCH($D5,products!$A$1:$A$49,0),MATCH(orders!I$1,products!$A$1:$G$1,0))</f>
        <v>Exc</v>
      </c>
      <c r="J5" t="str">
        <f>INDEX(products!$A$1:$G$49,MATCH($D5,products!$A$1:$A$49,0),MATCH(orders!J$1,products!$A$1:$G$1,0))</f>
        <v>M</v>
      </c>
      <c r="K5" s="4">
        <f>INDEX(products!$A$1:$G$49,MATCH($D5,products!$A$1:$A$49,0),MATCH(orders!K$1,products!$A$1:$G$1,0))</f>
        <v>1</v>
      </c>
      <c r="L5" s="5">
        <f>INDEX(products!$A$1:$G$49,MATCH($D5,products!$A$1:$A$49,0),MATCH(orders!L$1,products!$A$1:$G$1,0))</f>
        <v>13.75</v>
      </c>
      <c r="M5" s="5">
        <f t="shared" si="0"/>
        <v>27.5</v>
      </c>
      <c r="N5" t="str">
        <f>IF(I5="Rob","Robusta",IF(I5="Exc","Excelsa",IF(I5="Ara","Arabica",IF(I5="Lib","Liberica",""))))</f>
        <v>Excelsa</v>
      </c>
      <c r="O5" t="str">
        <f t="shared" si="1"/>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INDEX(products!$A$1:$G$49,MATCH($D6,products!$A$1:$A$49,0),MATCH(orders!I$1,products!$A$1:$G$1,0))</f>
        <v>Rob</v>
      </c>
      <c r="J6" t="str">
        <f>INDEX(products!$A$1:$G$49,MATCH($D6,products!$A$1:$A$49,0),MATCH(orders!J$1,products!$A$1:$G$1,0))</f>
        <v>L</v>
      </c>
      <c r="K6" s="4">
        <f>INDEX(products!$A$1:$G$49,MATCH($D6,products!$A$1:$A$49,0),MATCH(orders!K$1,products!$A$1:$G$1,0))</f>
        <v>2.5</v>
      </c>
      <c r="L6" s="5">
        <f>INDEX(products!$A$1:$G$49,MATCH($D6,products!$A$1:$A$49,0),MATCH(orders!L$1,products!$A$1:$G$1,0))</f>
        <v>27.484999999999996</v>
      </c>
      <c r="M6" s="5">
        <f t="shared" si="0"/>
        <v>54.969999999999992</v>
      </c>
      <c r="N6" t="str">
        <f>IF(I6="Rob","Robusta",IF(I6="Exc","Excelsa",IF(I6="Ara","Arabica",IF(I6="Lib","Liberica",""))))</f>
        <v>Robusta</v>
      </c>
      <c r="O6" t="str">
        <f t="shared" si="1"/>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INDEX(products!$A$1:$G$49,MATCH($D7,products!$A$1:$A$49,0),MATCH(orders!I$1,products!$A$1:$G$1,0))</f>
        <v>Lib</v>
      </c>
      <c r="J7" t="str">
        <f>INDEX(products!$A$1:$G$49,MATCH($D7,products!$A$1:$A$49,0),MATCH(orders!J$1,products!$A$1:$G$1,0))</f>
        <v>D</v>
      </c>
      <c r="K7" s="4">
        <f>INDEX(products!$A$1:$G$49,MATCH($D7,products!$A$1:$A$49,0),MATCH(orders!K$1,products!$A$1:$G$1,0))</f>
        <v>1</v>
      </c>
      <c r="L7" s="5">
        <f>INDEX(products!$A$1:$G$49,MATCH($D7,products!$A$1:$A$49,0),MATCH(orders!L$1,products!$A$1:$G$1,0))</f>
        <v>12.95</v>
      </c>
      <c r="M7" s="5">
        <f t="shared" si="0"/>
        <v>38.849999999999994</v>
      </c>
      <c r="N7" t="str">
        <f>IF(I7="Rob","Robusta",IF(I7="Exc","Excelsa",IF(I7="Ara","Arabica",IF(I7="Lib","Liberica",""))))</f>
        <v>Liberica</v>
      </c>
      <c r="O7" t="str">
        <f t="shared" si="1"/>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INDEX(products!$A$1:$G$49,MATCH($D8,products!$A$1:$A$49,0),MATCH(orders!I$1,products!$A$1:$G$1,0))</f>
        <v>Exc</v>
      </c>
      <c r="J8" t="str">
        <f>INDEX(products!$A$1:$G$49,MATCH($D8,products!$A$1:$A$49,0),MATCH(orders!J$1,products!$A$1:$G$1,0))</f>
        <v>D</v>
      </c>
      <c r="K8" s="4">
        <f>INDEX(products!$A$1:$G$49,MATCH($D8,products!$A$1:$A$49,0),MATCH(orders!K$1,products!$A$1:$G$1,0))</f>
        <v>0.5</v>
      </c>
      <c r="L8" s="5">
        <f>INDEX(products!$A$1:$G$49,MATCH($D8,products!$A$1:$A$49,0),MATCH(orders!L$1,products!$A$1:$G$1,0))</f>
        <v>7.29</v>
      </c>
      <c r="M8" s="5">
        <f t="shared" si="0"/>
        <v>21.87</v>
      </c>
      <c r="N8" t="str">
        <f>IF(I8="Rob","Robusta",IF(I8="Exc","Excelsa",IF(I8="Ara","Arabica",IF(I8="Lib","Liberica",""))))</f>
        <v>Excelsa</v>
      </c>
      <c r="O8" t="str">
        <f t="shared" si="1"/>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INDEX(products!$A$1:$G$49,MATCH($D9,products!$A$1:$A$49,0),MATCH(orders!I$1,products!$A$1:$G$1,0))</f>
        <v>Lib</v>
      </c>
      <c r="J9" t="str">
        <f>INDEX(products!$A$1:$G$49,MATCH($D9,products!$A$1:$A$49,0),MATCH(orders!J$1,products!$A$1:$G$1,0))</f>
        <v>L</v>
      </c>
      <c r="K9" s="4">
        <f>INDEX(products!$A$1:$G$49,MATCH($D9,products!$A$1:$A$49,0),MATCH(orders!K$1,products!$A$1:$G$1,0))</f>
        <v>0.2</v>
      </c>
      <c r="L9" s="5">
        <f>INDEX(products!$A$1:$G$49,MATCH($D9,products!$A$1:$A$49,0),MATCH(orders!L$1,products!$A$1:$G$1,0))</f>
        <v>4.7549999999999999</v>
      </c>
      <c r="M9" s="5">
        <f t="shared" si="0"/>
        <v>4.7549999999999999</v>
      </c>
      <c r="N9" t="str">
        <f>IF(I9="Rob","Robusta",IF(I9="Exc","Excelsa",IF(I9="Ara","Arabica",IF(I9="Lib","Liberica",""))))</f>
        <v>Liberica</v>
      </c>
      <c r="O9" t="str">
        <f t="shared" si="1"/>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INDEX(products!$A$1:$G$49,MATCH($D10,products!$A$1:$A$49,0),MATCH(orders!I$1,products!$A$1:$G$1,0))</f>
        <v>Rob</v>
      </c>
      <c r="J10" t="str">
        <f>INDEX(products!$A$1:$G$49,MATCH($D10,products!$A$1:$A$49,0),MATCH(orders!J$1,products!$A$1:$G$1,0))</f>
        <v>M</v>
      </c>
      <c r="K10" s="4">
        <f>INDEX(products!$A$1:$G$49,MATCH($D10,products!$A$1:$A$49,0),MATCH(orders!K$1,products!$A$1:$G$1,0))</f>
        <v>0.5</v>
      </c>
      <c r="L10" s="5">
        <f>INDEX(products!$A$1:$G$49,MATCH($D10,products!$A$1:$A$49,0),MATCH(orders!L$1,products!$A$1:$G$1,0))</f>
        <v>5.97</v>
      </c>
      <c r="M10" s="5">
        <f t="shared" si="0"/>
        <v>17.91</v>
      </c>
      <c r="N10" t="str">
        <f>IF(I10="Rob","Robusta",IF(I10="Exc","Excelsa",IF(I10="Ara","Arabica",IF(I10="Lib","Liberica",""))))</f>
        <v>Robusta</v>
      </c>
      <c r="O10" t="str">
        <f t="shared" si="1"/>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INDEX(products!$A$1:$G$49,MATCH($D11,products!$A$1:$A$49,0),MATCH(orders!I$1,products!$A$1:$G$1,0))</f>
        <v>Rob</v>
      </c>
      <c r="J11" t="str">
        <f>INDEX(products!$A$1:$G$49,MATCH($D11,products!$A$1:$A$49,0),MATCH(orders!J$1,products!$A$1:$G$1,0))</f>
        <v>M</v>
      </c>
      <c r="K11" s="4">
        <f>INDEX(products!$A$1:$G$49,MATCH($D11,products!$A$1:$A$49,0),MATCH(orders!K$1,products!$A$1:$G$1,0))</f>
        <v>0.5</v>
      </c>
      <c r="L11" s="5">
        <f>INDEX(products!$A$1:$G$49,MATCH($D11,products!$A$1:$A$49,0),MATCH(orders!L$1,products!$A$1:$G$1,0))</f>
        <v>5.97</v>
      </c>
      <c r="M11" s="5">
        <f t="shared" si="0"/>
        <v>5.97</v>
      </c>
      <c r="N11" t="str">
        <f>IF(I11="Rob","Robusta",IF(I11="Exc","Excelsa",IF(I11="Ara","Arabica",IF(I11="Lib","Liberica",""))))</f>
        <v>Robusta</v>
      </c>
      <c r="O11" t="str">
        <f t="shared" si="1"/>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INDEX(products!$A$1:$G$49,MATCH($D12,products!$A$1:$A$49,0),MATCH(orders!I$1,products!$A$1:$G$1,0))</f>
        <v>Ara</v>
      </c>
      <c r="J12" t="str">
        <f>INDEX(products!$A$1:$G$49,MATCH($D12,products!$A$1:$A$49,0),MATCH(orders!J$1,products!$A$1:$G$1,0))</f>
        <v>D</v>
      </c>
      <c r="K12" s="4">
        <f>INDEX(products!$A$1:$G$49,MATCH($D12,products!$A$1:$A$49,0),MATCH(orders!K$1,products!$A$1:$G$1,0))</f>
        <v>1</v>
      </c>
      <c r="L12" s="5">
        <f>INDEX(products!$A$1:$G$49,MATCH($D12,products!$A$1:$A$49,0),MATCH(orders!L$1,products!$A$1:$G$1,0))</f>
        <v>9.9499999999999993</v>
      </c>
      <c r="M12" s="5">
        <f t="shared" si="0"/>
        <v>39.799999999999997</v>
      </c>
      <c r="N12" t="str">
        <f>IF(I12="Rob","Robusta",IF(I12="Exc","Excelsa",IF(I12="Ara","Arabica",IF(I12="Lib","Liberica",""))))</f>
        <v>Arabica</v>
      </c>
      <c r="O12" t="str">
        <f t="shared" si="1"/>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INDEX(products!$A$1:$G$49,MATCH($D13,products!$A$1:$A$49,0),MATCH(orders!I$1,products!$A$1:$G$1,0))</f>
        <v>Exc</v>
      </c>
      <c r="J13" t="str">
        <f>INDEX(products!$A$1:$G$49,MATCH($D13,products!$A$1:$A$49,0),MATCH(orders!J$1,products!$A$1:$G$1,0))</f>
        <v>L</v>
      </c>
      <c r="K13" s="4">
        <f>INDEX(products!$A$1:$G$49,MATCH($D13,products!$A$1:$A$49,0),MATCH(orders!K$1,products!$A$1:$G$1,0))</f>
        <v>2.5</v>
      </c>
      <c r="L13" s="5">
        <f>INDEX(products!$A$1:$G$49,MATCH($D13,products!$A$1:$A$49,0),MATCH(orders!L$1,products!$A$1:$G$1,0))</f>
        <v>34.154999999999994</v>
      </c>
      <c r="M13" s="5">
        <f t="shared" si="0"/>
        <v>170.77499999999998</v>
      </c>
      <c r="N13" t="str">
        <f>IF(I13="Rob","Robusta",IF(I13="Exc","Excelsa",IF(I13="Ara","Arabica",IF(I13="Lib","Liberica",""))))</f>
        <v>Excelsa</v>
      </c>
      <c r="O13" t="str">
        <f t="shared" si="1"/>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INDEX(products!$A$1:$G$49,MATCH($D14,products!$A$1:$A$49,0),MATCH(orders!I$1,products!$A$1:$G$1,0))</f>
        <v>Rob</v>
      </c>
      <c r="J14" t="str">
        <f>INDEX(products!$A$1:$G$49,MATCH($D14,products!$A$1:$A$49,0),MATCH(orders!J$1,products!$A$1:$G$1,0))</f>
        <v>M</v>
      </c>
      <c r="K14" s="4">
        <f>INDEX(products!$A$1:$G$49,MATCH($D14,products!$A$1:$A$49,0),MATCH(orders!K$1,products!$A$1:$G$1,0))</f>
        <v>1</v>
      </c>
      <c r="L14" s="5">
        <f>INDEX(products!$A$1:$G$49,MATCH($D14,products!$A$1:$A$49,0),MATCH(orders!L$1,products!$A$1:$G$1,0))</f>
        <v>9.9499999999999993</v>
      </c>
      <c r="M14" s="5">
        <f t="shared" si="0"/>
        <v>49.75</v>
      </c>
      <c r="N14" t="str">
        <f>IF(I14="Rob","Robusta",IF(I14="Exc","Excelsa",IF(I14="Ara","Arabica",IF(I14="Lib","Liberica",""))))</f>
        <v>Robusta</v>
      </c>
      <c r="O14" t="str">
        <f t="shared" si="1"/>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INDEX(products!$A$1:$G$49,MATCH($D15,products!$A$1:$A$49,0),MATCH(orders!I$1,products!$A$1:$G$1,0))</f>
        <v>Rob</v>
      </c>
      <c r="J15" t="str">
        <f>INDEX(products!$A$1:$G$49,MATCH($D15,products!$A$1:$A$49,0),MATCH(orders!J$1,products!$A$1:$G$1,0))</f>
        <v>D</v>
      </c>
      <c r="K15" s="4">
        <f>INDEX(products!$A$1:$G$49,MATCH($D15,products!$A$1:$A$49,0),MATCH(orders!K$1,products!$A$1:$G$1,0))</f>
        <v>2.5</v>
      </c>
      <c r="L15" s="5">
        <f>INDEX(products!$A$1:$G$49,MATCH($D15,products!$A$1:$A$49,0),MATCH(orders!L$1,products!$A$1:$G$1,0))</f>
        <v>20.584999999999997</v>
      </c>
      <c r="M15" s="5">
        <f t="shared" si="0"/>
        <v>41.169999999999995</v>
      </c>
      <c r="N15" t="str">
        <f>IF(I15="Rob","Robusta",IF(I15="Exc","Excelsa",IF(I15="Ara","Arabica",IF(I15="Lib","Liberica",""))))</f>
        <v>Robusta</v>
      </c>
      <c r="O15" t="str">
        <f t="shared" si="1"/>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INDEX(products!$A$1:$G$49,MATCH($D16,products!$A$1:$A$49,0),MATCH(orders!I$1,products!$A$1:$G$1,0))</f>
        <v>Lib</v>
      </c>
      <c r="J16" t="str">
        <f>INDEX(products!$A$1:$G$49,MATCH($D16,products!$A$1:$A$49,0),MATCH(orders!J$1,products!$A$1:$G$1,0))</f>
        <v>D</v>
      </c>
      <c r="K16" s="4">
        <f>INDEX(products!$A$1:$G$49,MATCH($D16,products!$A$1:$A$49,0),MATCH(orders!K$1,products!$A$1:$G$1,0))</f>
        <v>0.2</v>
      </c>
      <c r="L16" s="5">
        <f>INDEX(products!$A$1:$G$49,MATCH($D16,products!$A$1:$A$49,0),MATCH(orders!L$1,products!$A$1:$G$1,0))</f>
        <v>3.8849999999999998</v>
      </c>
      <c r="M16" s="5">
        <f t="shared" si="0"/>
        <v>11.654999999999999</v>
      </c>
      <c r="N16" t="str">
        <f>IF(I16="Rob","Robusta",IF(I16="Exc","Excelsa",IF(I16="Ara","Arabica",IF(I16="Lib","Liberica",""))))</f>
        <v>Liberica</v>
      </c>
      <c r="O16" t="str">
        <f t="shared" si="1"/>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INDEX(products!$A$1:$G$49,MATCH($D17,products!$A$1:$A$49,0),MATCH(orders!I$1,products!$A$1:$G$1,0))</f>
        <v>Rob</v>
      </c>
      <c r="J17" t="str">
        <f>INDEX(products!$A$1:$G$49,MATCH($D17,products!$A$1:$A$49,0),MATCH(orders!J$1,products!$A$1:$G$1,0))</f>
        <v>M</v>
      </c>
      <c r="K17" s="4">
        <f>INDEX(products!$A$1:$G$49,MATCH($D17,products!$A$1:$A$49,0),MATCH(orders!K$1,products!$A$1:$G$1,0))</f>
        <v>2.5</v>
      </c>
      <c r="L17" s="5">
        <f>INDEX(products!$A$1:$G$49,MATCH($D17,products!$A$1:$A$49,0),MATCH(orders!L$1,products!$A$1:$G$1,0))</f>
        <v>22.884999999999998</v>
      </c>
      <c r="M17" s="5">
        <f t="shared" si="0"/>
        <v>114.42499999999998</v>
      </c>
      <c r="N17" t="str">
        <f>IF(I17="Rob","Robusta",IF(I17="Exc","Excelsa",IF(I17="Ara","Arabica",IF(I17="Lib","Liberica",""))))</f>
        <v>Robusta</v>
      </c>
      <c r="O17" t="str">
        <f t="shared" si="1"/>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INDEX(products!$A$1:$G$49,MATCH($D18,products!$A$1:$A$49,0),MATCH(orders!I$1,products!$A$1:$G$1,0))</f>
        <v>Ara</v>
      </c>
      <c r="J18" t="str">
        <f>INDEX(products!$A$1:$G$49,MATCH($D18,products!$A$1:$A$49,0),MATCH(orders!J$1,products!$A$1:$G$1,0))</f>
        <v>M</v>
      </c>
      <c r="K18" s="4">
        <f>INDEX(products!$A$1:$G$49,MATCH($D18,products!$A$1:$A$49,0),MATCH(orders!K$1,products!$A$1:$G$1,0))</f>
        <v>0.2</v>
      </c>
      <c r="L18" s="5">
        <f>INDEX(products!$A$1:$G$49,MATCH($D18,products!$A$1:$A$49,0),MATCH(orders!L$1,products!$A$1:$G$1,0))</f>
        <v>3.375</v>
      </c>
      <c r="M18" s="5">
        <f t="shared" si="0"/>
        <v>20.25</v>
      </c>
      <c r="N18" t="str">
        <f>IF(I18="Rob","Robusta",IF(I18="Exc","Excelsa",IF(I18="Ara","Arabica",IF(I18="Lib","Liberica",""))))</f>
        <v>Arabica</v>
      </c>
      <c r="O18" t="str">
        <f t="shared" si="1"/>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INDEX(products!$A$1:$G$49,MATCH($D19,products!$A$1:$A$49,0),MATCH(orders!I$1,products!$A$1:$G$1,0))</f>
        <v>Ara</v>
      </c>
      <c r="J19" t="str">
        <f>INDEX(products!$A$1:$G$49,MATCH($D19,products!$A$1:$A$49,0),MATCH(orders!J$1,products!$A$1:$G$1,0))</f>
        <v>L</v>
      </c>
      <c r="K19" s="4">
        <f>INDEX(products!$A$1:$G$49,MATCH($D19,products!$A$1:$A$49,0),MATCH(orders!K$1,products!$A$1:$G$1,0))</f>
        <v>1</v>
      </c>
      <c r="L19" s="5">
        <f>INDEX(products!$A$1:$G$49,MATCH($D19,products!$A$1:$A$49,0),MATCH(orders!L$1,products!$A$1:$G$1,0))</f>
        <v>12.95</v>
      </c>
      <c r="M19" s="5">
        <f t="shared" si="0"/>
        <v>77.699999999999989</v>
      </c>
      <c r="N19" t="str">
        <f>IF(I19="Rob","Robusta",IF(I19="Exc","Excelsa",IF(I19="Ara","Arabica",IF(I19="Lib","Liberica",""))))</f>
        <v>Arabica</v>
      </c>
      <c r="O19" t="str">
        <f t="shared" si="1"/>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INDEX(products!$A$1:$G$49,MATCH($D20,products!$A$1:$A$49,0),MATCH(orders!I$1,products!$A$1:$G$1,0))</f>
        <v>Rob</v>
      </c>
      <c r="J20" t="str">
        <f>INDEX(products!$A$1:$G$49,MATCH($D20,products!$A$1:$A$49,0),MATCH(orders!J$1,products!$A$1:$G$1,0))</f>
        <v>D</v>
      </c>
      <c r="K20" s="4">
        <f>INDEX(products!$A$1:$G$49,MATCH($D20,products!$A$1:$A$49,0),MATCH(orders!K$1,products!$A$1:$G$1,0))</f>
        <v>2.5</v>
      </c>
      <c r="L20" s="5">
        <f>INDEX(products!$A$1:$G$49,MATCH($D20,products!$A$1:$A$49,0),MATCH(orders!L$1,products!$A$1:$G$1,0))</f>
        <v>20.584999999999997</v>
      </c>
      <c r="M20" s="5">
        <f t="shared" si="0"/>
        <v>82.339999999999989</v>
      </c>
      <c r="N20" t="str">
        <f>IF(I20="Rob","Robusta",IF(I20="Exc","Excelsa",IF(I20="Ara","Arabica",IF(I20="Lib","Liberica",""))))</f>
        <v>Robusta</v>
      </c>
      <c r="O20" t="str">
        <f t="shared" si="1"/>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INDEX(products!$A$1:$G$49,MATCH($D21,products!$A$1:$A$49,0),MATCH(orders!I$1,products!$A$1:$G$1,0))</f>
        <v>Ara</v>
      </c>
      <c r="J21" t="str">
        <f>INDEX(products!$A$1:$G$49,MATCH($D21,products!$A$1:$A$49,0),MATCH(orders!J$1,products!$A$1:$G$1,0))</f>
        <v>M</v>
      </c>
      <c r="K21" s="4">
        <f>INDEX(products!$A$1:$G$49,MATCH($D21,products!$A$1:$A$49,0),MATCH(orders!K$1,products!$A$1:$G$1,0))</f>
        <v>0.2</v>
      </c>
      <c r="L21" s="5">
        <f>INDEX(products!$A$1:$G$49,MATCH($D21,products!$A$1:$A$49,0),MATCH(orders!L$1,products!$A$1:$G$1,0))</f>
        <v>3.375</v>
      </c>
      <c r="M21" s="5">
        <f t="shared" si="0"/>
        <v>16.875</v>
      </c>
      <c r="N21" t="str">
        <f>IF(I21="Rob","Robusta",IF(I21="Exc","Excelsa",IF(I21="Ara","Arabica",IF(I21="Lib","Liberica",""))))</f>
        <v>Arabica</v>
      </c>
      <c r="O21" t="str">
        <f t="shared" si="1"/>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INDEX(products!$A$1:$G$49,MATCH($D22,products!$A$1:$A$49,0),MATCH(orders!I$1,products!$A$1:$G$1,0))</f>
        <v>Exc</v>
      </c>
      <c r="J22" t="str">
        <f>INDEX(products!$A$1:$G$49,MATCH($D22,products!$A$1:$A$49,0),MATCH(orders!J$1,products!$A$1:$G$1,0))</f>
        <v>D</v>
      </c>
      <c r="K22" s="4">
        <f>INDEX(products!$A$1:$G$49,MATCH($D22,products!$A$1:$A$49,0),MATCH(orders!K$1,products!$A$1:$G$1,0))</f>
        <v>0.2</v>
      </c>
      <c r="L22" s="5">
        <f>INDEX(products!$A$1:$G$49,MATCH($D22,products!$A$1:$A$49,0),MATCH(orders!L$1,products!$A$1:$G$1,0))</f>
        <v>3.645</v>
      </c>
      <c r="M22" s="5">
        <f t="shared" si="0"/>
        <v>14.58</v>
      </c>
      <c r="N22" t="str">
        <f>IF(I22="Rob","Robusta",IF(I22="Exc","Excelsa",IF(I22="Ara","Arabica",IF(I22="Lib","Liberica",""))))</f>
        <v>Excelsa</v>
      </c>
      <c r="O22" t="str">
        <f t="shared" si="1"/>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INDEX(products!$A$1:$G$49,MATCH($D23,products!$A$1:$A$49,0),MATCH(orders!I$1,products!$A$1:$G$1,0))</f>
        <v>Ara</v>
      </c>
      <c r="J23" t="str">
        <f>INDEX(products!$A$1:$G$49,MATCH($D23,products!$A$1:$A$49,0),MATCH(orders!J$1,products!$A$1:$G$1,0))</f>
        <v>D</v>
      </c>
      <c r="K23" s="4">
        <f>INDEX(products!$A$1:$G$49,MATCH($D23,products!$A$1:$A$49,0),MATCH(orders!K$1,products!$A$1:$G$1,0))</f>
        <v>0.2</v>
      </c>
      <c r="L23" s="5">
        <f>INDEX(products!$A$1:$G$49,MATCH($D23,products!$A$1:$A$49,0),MATCH(orders!L$1,products!$A$1:$G$1,0))</f>
        <v>2.9849999999999999</v>
      </c>
      <c r="M23" s="5">
        <f t="shared" si="0"/>
        <v>17.91</v>
      </c>
      <c r="N23" t="str">
        <f>IF(I23="Rob","Robusta",IF(I23="Exc","Excelsa",IF(I23="Ara","Arabica",IF(I23="Lib","Liberica",""))))</f>
        <v>Arabica</v>
      </c>
      <c r="O23" t="str">
        <f t="shared" si="1"/>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INDEX(products!$A$1:$G$49,MATCH($D24,products!$A$1:$A$49,0),MATCH(orders!I$1,products!$A$1:$G$1,0))</f>
        <v>Rob</v>
      </c>
      <c r="J24" t="str">
        <f>INDEX(products!$A$1:$G$49,MATCH($D24,products!$A$1:$A$49,0),MATCH(orders!J$1,products!$A$1:$G$1,0))</f>
        <v>M</v>
      </c>
      <c r="K24" s="4">
        <f>INDEX(products!$A$1:$G$49,MATCH($D24,products!$A$1:$A$49,0),MATCH(orders!K$1,products!$A$1:$G$1,0))</f>
        <v>2.5</v>
      </c>
      <c r="L24" s="5">
        <f>INDEX(products!$A$1:$G$49,MATCH($D24,products!$A$1:$A$49,0),MATCH(orders!L$1,products!$A$1:$G$1,0))</f>
        <v>22.884999999999998</v>
      </c>
      <c r="M24" s="5">
        <f t="shared" si="0"/>
        <v>91.539999999999992</v>
      </c>
      <c r="N24" t="str">
        <f>IF(I24="Rob","Robusta",IF(I24="Exc","Excelsa",IF(I24="Ara","Arabica",IF(I24="Lib","Liberica",""))))</f>
        <v>Robusta</v>
      </c>
      <c r="O24" t="str">
        <f t="shared" si="1"/>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INDEX(products!$A$1:$G$49,MATCH($D25,products!$A$1:$A$49,0),MATCH(orders!I$1,products!$A$1:$G$1,0))</f>
        <v>Ara</v>
      </c>
      <c r="J25" t="str">
        <f>INDEX(products!$A$1:$G$49,MATCH($D25,products!$A$1:$A$49,0),MATCH(orders!J$1,products!$A$1:$G$1,0))</f>
        <v>D</v>
      </c>
      <c r="K25" s="4">
        <f>INDEX(products!$A$1:$G$49,MATCH($D25,products!$A$1:$A$49,0),MATCH(orders!K$1,products!$A$1:$G$1,0))</f>
        <v>0.2</v>
      </c>
      <c r="L25" s="5">
        <f>INDEX(products!$A$1:$G$49,MATCH($D25,products!$A$1:$A$49,0),MATCH(orders!L$1,products!$A$1:$G$1,0))</f>
        <v>2.9849999999999999</v>
      </c>
      <c r="M25" s="5">
        <f t="shared" si="0"/>
        <v>11.94</v>
      </c>
      <c r="N25" t="str">
        <f>IF(I25="Rob","Robusta",IF(I25="Exc","Excelsa",IF(I25="Ara","Arabica",IF(I25="Lib","Liberica",""))))</f>
        <v>Arabica</v>
      </c>
      <c r="O25" t="str">
        <f t="shared" si="1"/>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INDEX(products!$A$1:$G$49,MATCH($D26,products!$A$1:$A$49,0),MATCH(orders!I$1,products!$A$1:$G$1,0))</f>
        <v>Ara</v>
      </c>
      <c r="J26" t="str">
        <f>INDEX(products!$A$1:$G$49,MATCH($D26,products!$A$1:$A$49,0),MATCH(orders!J$1,products!$A$1:$G$1,0))</f>
        <v>M</v>
      </c>
      <c r="K26" s="4">
        <f>INDEX(products!$A$1:$G$49,MATCH($D26,products!$A$1:$A$49,0),MATCH(orders!K$1,products!$A$1:$G$1,0))</f>
        <v>1</v>
      </c>
      <c r="L26" s="5">
        <f>INDEX(products!$A$1:$G$49,MATCH($D26,products!$A$1:$A$49,0),MATCH(orders!L$1,products!$A$1:$G$1,0))</f>
        <v>11.25</v>
      </c>
      <c r="M26" s="5">
        <f t="shared" si="0"/>
        <v>11.25</v>
      </c>
      <c r="N26" t="str">
        <f>IF(I26="Rob","Robusta",IF(I26="Exc","Excelsa",IF(I26="Ara","Arabica",IF(I26="Lib","Liberica",""))))</f>
        <v>Arabica</v>
      </c>
      <c r="O26" t="str">
        <f t="shared" si="1"/>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INDEX(products!$A$1:$G$49,MATCH($D27,products!$A$1:$A$49,0),MATCH(orders!I$1,products!$A$1:$G$1,0))</f>
        <v>Exc</v>
      </c>
      <c r="J27" t="str">
        <f>INDEX(products!$A$1:$G$49,MATCH($D27,products!$A$1:$A$49,0),MATCH(orders!J$1,products!$A$1:$G$1,0))</f>
        <v>M</v>
      </c>
      <c r="K27" s="4">
        <f>INDEX(products!$A$1:$G$49,MATCH($D27,products!$A$1:$A$49,0),MATCH(orders!K$1,products!$A$1:$G$1,0))</f>
        <v>0.2</v>
      </c>
      <c r="L27" s="5">
        <f>INDEX(products!$A$1:$G$49,MATCH($D27,products!$A$1:$A$49,0),MATCH(orders!L$1,products!$A$1:$G$1,0))</f>
        <v>4.125</v>
      </c>
      <c r="M27" s="5">
        <f t="shared" si="0"/>
        <v>12.375</v>
      </c>
      <c r="N27" t="str">
        <f>IF(I27="Rob","Robusta",IF(I27="Exc","Excelsa",IF(I27="Ara","Arabica",IF(I27="Lib","Liberica",""))))</f>
        <v>Excelsa</v>
      </c>
      <c r="O27" t="str">
        <f t="shared" si="1"/>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INDEX(products!$A$1:$G$49,MATCH($D28,products!$A$1:$A$49,0),MATCH(orders!I$1,products!$A$1:$G$1,0))</f>
        <v>Ara</v>
      </c>
      <c r="J28" t="str">
        <f>INDEX(products!$A$1:$G$49,MATCH($D28,products!$A$1:$A$49,0),MATCH(orders!J$1,products!$A$1:$G$1,0))</f>
        <v>M</v>
      </c>
      <c r="K28" s="4">
        <f>INDEX(products!$A$1:$G$49,MATCH($D28,products!$A$1:$A$49,0),MATCH(orders!K$1,products!$A$1:$G$1,0))</f>
        <v>0.5</v>
      </c>
      <c r="L28" s="5">
        <f>INDEX(products!$A$1:$G$49,MATCH($D28,products!$A$1:$A$49,0),MATCH(orders!L$1,products!$A$1:$G$1,0))</f>
        <v>6.75</v>
      </c>
      <c r="M28" s="5">
        <f t="shared" si="0"/>
        <v>27</v>
      </c>
      <c r="N28" t="str">
        <f>IF(I28="Rob","Robusta",IF(I28="Exc","Excelsa",IF(I28="Ara","Arabica",IF(I28="Lib","Liberica",""))))</f>
        <v>Arabica</v>
      </c>
      <c r="O28" t="str">
        <f t="shared" si="1"/>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INDEX(products!$A$1:$G$49,MATCH($D29,products!$A$1:$A$49,0),MATCH(orders!I$1,products!$A$1:$G$1,0))</f>
        <v>Ara</v>
      </c>
      <c r="J29" t="str">
        <f>INDEX(products!$A$1:$G$49,MATCH($D29,products!$A$1:$A$49,0),MATCH(orders!J$1,products!$A$1:$G$1,0))</f>
        <v>M</v>
      </c>
      <c r="K29" s="4">
        <f>INDEX(products!$A$1:$G$49,MATCH($D29,products!$A$1:$A$49,0),MATCH(orders!K$1,products!$A$1:$G$1,0))</f>
        <v>0.2</v>
      </c>
      <c r="L29" s="5">
        <f>INDEX(products!$A$1:$G$49,MATCH($D29,products!$A$1:$A$49,0),MATCH(orders!L$1,products!$A$1:$G$1,0))</f>
        <v>3.375</v>
      </c>
      <c r="M29" s="5">
        <f t="shared" si="0"/>
        <v>16.875</v>
      </c>
      <c r="N29" t="str">
        <f>IF(I29="Rob","Robusta",IF(I29="Exc","Excelsa",IF(I29="Ara","Arabica",IF(I29="Lib","Liberica",""))))</f>
        <v>Arabica</v>
      </c>
      <c r="O29" t="str">
        <f t="shared" si="1"/>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INDEX(products!$A$1:$G$49,MATCH($D30,products!$A$1:$A$49,0),MATCH(orders!I$1,products!$A$1:$G$1,0))</f>
        <v>Ara</v>
      </c>
      <c r="J30" t="str">
        <f>INDEX(products!$A$1:$G$49,MATCH($D30,products!$A$1:$A$49,0),MATCH(orders!J$1,products!$A$1:$G$1,0))</f>
        <v>D</v>
      </c>
      <c r="K30" s="4">
        <f>INDEX(products!$A$1:$G$49,MATCH($D30,products!$A$1:$A$49,0),MATCH(orders!K$1,products!$A$1:$G$1,0))</f>
        <v>0.5</v>
      </c>
      <c r="L30" s="5">
        <f>INDEX(products!$A$1:$G$49,MATCH($D30,products!$A$1:$A$49,0),MATCH(orders!L$1,products!$A$1:$G$1,0))</f>
        <v>5.97</v>
      </c>
      <c r="M30" s="5">
        <f t="shared" si="0"/>
        <v>17.91</v>
      </c>
      <c r="N30" t="str">
        <f>IF(I30="Rob","Robusta",IF(I30="Exc","Excelsa",IF(I30="Ara","Arabica",IF(I30="Lib","Liberica",""))))</f>
        <v>Arabica</v>
      </c>
      <c r="O30" t="str">
        <f t="shared" si="1"/>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INDEX(products!$A$1:$G$49,MATCH($D31,products!$A$1:$A$49,0),MATCH(orders!I$1,products!$A$1:$G$1,0))</f>
        <v>Ara</v>
      </c>
      <c r="J31" t="str">
        <f>INDEX(products!$A$1:$G$49,MATCH($D31,products!$A$1:$A$49,0),MATCH(orders!J$1,products!$A$1:$G$1,0))</f>
        <v>D</v>
      </c>
      <c r="K31" s="4">
        <f>INDEX(products!$A$1:$G$49,MATCH($D31,products!$A$1:$A$49,0),MATCH(orders!K$1,products!$A$1:$G$1,0))</f>
        <v>1</v>
      </c>
      <c r="L31" s="5">
        <f>INDEX(products!$A$1:$G$49,MATCH($D31,products!$A$1:$A$49,0),MATCH(orders!L$1,products!$A$1:$G$1,0))</f>
        <v>9.9499999999999993</v>
      </c>
      <c r="M31" s="5">
        <f t="shared" si="0"/>
        <v>39.799999999999997</v>
      </c>
      <c r="N31" t="str">
        <f>IF(I31="Rob","Robusta",IF(I31="Exc","Excelsa",IF(I31="Ara","Arabica",IF(I31="Lib","Liberica",""))))</f>
        <v>Arabica</v>
      </c>
      <c r="O31" t="str">
        <f t="shared" si="1"/>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INDEX(products!$A$1:$G$49,MATCH($D32,products!$A$1:$A$49,0),MATCH(orders!I$1,products!$A$1:$G$1,0))</f>
        <v>Lib</v>
      </c>
      <c r="J32" t="str">
        <f>INDEX(products!$A$1:$G$49,MATCH($D32,products!$A$1:$A$49,0),MATCH(orders!J$1,products!$A$1:$G$1,0))</f>
        <v>M</v>
      </c>
      <c r="K32" s="4">
        <f>INDEX(products!$A$1:$G$49,MATCH($D32,products!$A$1:$A$49,0),MATCH(orders!K$1,products!$A$1:$G$1,0))</f>
        <v>0.2</v>
      </c>
      <c r="L32" s="5">
        <f>INDEX(products!$A$1:$G$49,MATCH($D32,products!$A$1:$A$49,0),MATCH(orders!L$1,products!$A$1:$G$1,0))</f>
        <v>4.3650000000000002</v>
      </c>
      <c r="M32" s="5">
        <f t="shared" si="0"/>
        <v>21.825000000000003</v>
      </c>
      <c r="N32" t="str">
        <f>IF(I32="Rob","Robusta",IF(I32="Exc","Excelsa",IF(I32="Ara","Arabica",IF(I32="Lib","Liberica",""))))</f>
        <v>Liberica</v>
      </c>
      <c r="O32" t="str">
        <f t="shared" si="1"/>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INDEX(products!$A$1:$G$49,MATCH($D33,products!$A$1:$A$49,0),MATCH(orders!I$1,products!$A$1:$G$1,0))</f>
        <v>Ara</v>
      </c>
      <c r="J33" t="str">
        <f>INDEX(products!$A$1:$G$49,MATCH($D33,products!$A$1:$A$49,0),MATCH(orders!J$1,products!$A$1:$G$1,0))</f>
        <v>D</v>
      </c>
      <c r="K33" s="4">
        <f>INDEX(products!$A$1:$G$49,MATCH($D33,products!$A$1:$A$49,0),MATCH(orders!K$1,products!$A$1:$G$1,0))</f>
        <v>0.5</v>
      </c>
      <c r="L33" s="5">
        <f>INDEX(products!$A$1:$G$49,MATCH($D33,products!$A$1:$A$49,0),MATCH(orders!L$1,products!$A$1:$G$1,0))</f>
        <v>5.97</v>
      </c>
      <c r="M33" s="5">
        <f t="shared" si="0"/>
        <v>35.82</v>
      </c>
      <c r="N33" t="str">
        <f>IF(I33="Rob","Robusta",IF(I33="Exc","Excelsa",IF(I33="Ara","Arabica",IF(I33="Lib","Liberica",""))))</f>
        <v>Arabica</v>
      </c>
      <c r="O33" t="str">
        <f t="shared" si="1"/>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INDEX(products!$A$1:$G$49,MATCH($D34,products!$A$1:$A$49,0),MATCH(orders!I$1,products!$A$1:$G$1,0))</f>
        <v>Lib</v>
      </c>
      <c r="J34" t="str">
        <f>INDEX(products!$A$1:$G$49,MATCH($D34,products!$A$1:$A$49,0),MATCH(orders!J$1,products!$A$1:$G$1,0))</f>
        <v>M</v>
      </c>
      <c r="K34" s="4">
        <f>INDEX(products!$A$1:$G$49,MATCH($D34,products!$A$1:$A$49,0),MATCH(orders!K$1,products!$A$1:$G$1,0))</f>
        <v>0.5</v>
      </c>
      <c r="L34" s="5">
        <f>INDEX(products!$A$1:$G$49,MATCH($D34,products!$A$1:$A$49,0),MATCH(orders!L$1,products!$A$1:$G$1,0))</f>
        <v>8.73</v>
      </c>
      <c r="M34" s="5">
        <f t="shared" si="0"/>
        <v>52.38</v>
      </c>
      <c r="N34" t="str">
        <f>IF(I34="Rob","Robusta",IF(I34="Exc","Excelsa",IF(I34="Ara","Arabica",IF(I34="Lib","Liberica",""))))</f>
        <v>Liberica</v>
      </c>
      <c r="O34" t="str">
        <f t="shared" si="1"/>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INDEX(products!$A$1:$G$49,MATCH($D35,products!$A$1:$A$49,0),MATCH(orders!I$1,products!$A$1:$G$1,0))</f>
        <v>Lib</v>
      </c>
      <c r="J35" t="str">
        <f>INDEX(products!$A$1:$G$49,MATCH($D35,products!$A$1:$A$49,0),MATCH(orders!J$1,products!$A$1:$G$1,0))</f>
        <v>L</v>
      </c>
      <c r="K35" s="4">
        <f>INDEX(products!$A$1:$G$49,MATCH($D35,products!$A$1:$A$49,0),MATCH(orders!K$1,products!$A$1:$G$1,0))</f>
        <v>0.2</v>
      </c>
      <c r="L35" s="5">
        <f>INDEX(products!$A$1:$G$49,MATCH($D35,products!$A$1:$A$49,0),MATCH(orders!L$1,products!$A$1:$G$1,0))</f>
        <v>4.7549999999999999</v>
      </c>
      <c r="M35" s="5">
        <f t="shared" si="0"/>
        <v>23.774999999999999</v>
      </c>
      <c r="N35" t="str">
        <f>IF(I35="Rob","Robusta",IF(I35="Exc","Excelsa",IF(I35="Ara","Arabica",IF(I35="Lib","Liberica",""))))</f>
        <v>Liberica</v>
      </c>
      <c r="O35" t="str">
        <f t="shared" si="1"/>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INDEX(products!$A$1:$G$49,MATCH($D36,products!$A$1:$A$49,0),MATCH(orders!I$1,products!$A$1:$G$1,0))</f>
        <v>Lib</v>
      </c>
      <c r="J36" t="str">
        <f>INDEX(products!$A$1:$G$49,MATCH($D36,products!$A$1:$A$49,0),MATCH(orders!J$1,products!$A$1:$G$1,0))</f>
        <v>L</v>
      </c>
      <c r="K36" s="4">
        <f>INDEX(products!$A$1:$G$49,MATCH($D36,products!$A$1:$A$49,0),MATCH(orders!K$1,products!$A$1:$G$1,0))</f>
        <v>0.5</v>
      </c>
      <c r="L36" s="5">
        <f>INDEX(products!$A$1:$G$49,MATCH($D36,products!$A$1:$A$49,0),MATCH(orders!L$1,products!$A$1:$G$1,0))</f>
        <v>9.51</v>
      </c>
      <c r="M36" s="5">
        <f t="shared" si="0"/>
        <v>57.06</v>
      </c>
      <c r="N36" t="str">
        <f>IF(I36="Rob","Robusta",IF(I36="Exc","Excelsa",IF(I36="Ara","Arabica",IF(I36="Lib","Liberica",""))))</f>
        <v>Liberica</v>
      </c>
      <c r="O36" t="str">
        <f t="shared" si="1"/>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INDEX(products!$A$1:$G$49,MATCH($D37,products!$A$1:$A$49,0),MATCH(orders!I$1,products!$A$1:$G$1,0))</f>
        <v>Ara</v>
      </c>
      <c r="J37" t="str">
        <f>INDEX(products!$A$1:$G$49,MATCH($D37,products!$A$1:$A$49,0),MATCH(orders!J$1,products!$A$1:$G$1,0))</f>
        <v>D</v>
      </c>
      <c r="K37" s="4">
        <f>INDEX(products!$A$1:$G$49,MATCH($D37,products!$A$1:$A$49,0),MATCH(orders!K$1,products!$A$1:$G$1,0))</f>
        <v>0.5</v>
      </c>
      <c r="L37" s="5">
        <f>INDEX(products!$A$1:$G$49,MATCH($D37,products!$A$1:$A$49,0),MATCH(orders!L$1,products!$A$1:$G$1,0))</f>
        <v>5.97</v>
      </c>
      <c r="M37" s="5">
        <f t="shared" si="0"/>
        <v>35.82</v>
      </c>
      <c r="N37" t="str">
        <f>IF(I37="Rob","Robusta",IF(I37="Exc","Excelsa",IF(I37="Ara","Arabica",IF(I37="Lib","Liberica",""))))</f>
        <v>Arabica</v>
      </c>
      <c r="O37" t="str">
        <f t="shared" si="1"/>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INDEX(products!$A$1:$G$49,MATCH($D38,products!$A$1:$A$49,0),MATCH(orders!I$1,products!$A$1:$G$1,0))</f>
        <v>Lib</v>
      </c>
      <c r="J38" t="str">
        <f>INDEX(products!$A$1:$G$49,MATCH($D38,products!$A$1:$A$49,0),MATCH(orders!J$1,products!$A$1:$G$1,0))</f>
        <v>M</v>
      </c>
      <c r="K38" s="4">
        <f>INDEX(products!$A$1:$G$49,MATCH($D38,products!$A$1:$A$49,0),MATCH(orders!K$1,products!$A$1:$G$1,0))</f>
        <v>0.2</v>
      </c>
      <c r="L38" s="5">
        <f>INDEX(products!$A$1:$G$49,MATCH($D38,products!$A$1:$A$49,0),MATCH(orders!L$1,products!$A$1:$G$1,0))</f>
        <v>4.3650000000000002</v>
      </c>
      <c r="M38" s="5">
        <f t="shared" si="0"/>
        <v>8.73</v>
      </c>
      <c r="N38" t="str">
        <f>IF(I38="Rob","Robusta",IF(I38="Exc","Excelsa",IF(I38="Ara","Arabica",IF(I38="Lib","Liberica",""))))</f>
        <v>Liberica</v>
      </c>
      <c r="O38" t="str">
        <f t="shared" si="1"/>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INDEX(products!$A$1:$G$49,MATCH($D39,products!$A$1:$A$49,0),MATCH(orders!I$1,products!$A$1:$G$1,0))</f>
        <v>Lib</v>
      </c>
      <c r="J39" t="str">
        <f>INDEX(products!$A$1:$G$49,MATCH($D39,products!$A$1:$A$49,0),MATCH(orders!J$1,products!$A$1:$G$1,0))</f>
        <v>L</v>
      </c>
      <c r="K39" s="4">
        <f>INDEX(products!$A$1:$G$49,MATCH($D39,products!$A$1:$A$49,0),MATCH(orders!K$1,products!$A$1:$G$1,0))</f>
        <v>0.5</v>
      </c>
      <c r="L39" s="5">
        <f>INDEX(products!$A$1:$G$49,MATCH($D39,products!$A$1:$A$49,0),MATCH(orders!L$1,products!$A$1:$G$1,0))</f>
        <v>9.51</v>
      </c>
      <c r="M39" s="5">
        <f t="shared" si="0"/>
        <v>28.53</v>
      </c>
      <c r="N39" t="str">
        <f>IF(I39="Rob","Robusta",IF(I39="Exc","Excelsa",IF(I39="Ara","Arabica",IF(I39="Lib","Liberica",""))))</f>
        <v>Liberica</v>
      </c>
      <c r="O39" t="str">
        <f t="shared" si="1"/>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INDEX(products!$A$1:$G$49,MATCH($D40,products!$A$1:$A$49,0),MATCH(orders!I$1,products!$A$1:$G$1,0))</f>
        <v>Rob</v>
      </c>
      <c r="J40" t="str">
        <f>INDEX(products!$A$1:$G$49,MATCH($D40,products!$A$1:$A$49,0),MATCH(orders!J$1,products!$A$1:$G$1,0))</f>
        <v>M</v>
      </c>
      <c r="K40" s="4">
        <f>INDEX(products!$A$1:$G$49,MATCH($D40,products!$A$1:$A$49,0),MATCH(orders!K$1,products!$A$1:$G$1,0))</f>
        <v>2.5</v>
      </c>
      <c r="L40" s="5">
        <f>INDEX(products!$A$1:$G$49,MATCH($D40,products!$A$1:$A$49,0),MATCH(orders!L$1,products!$A$1:$G$1,0))</f>
        <v>22.884999999999998</v>
      </c>
      <c r="M40" s="5">
        <f t="shared" si="0"/>
        <v>114.42499999999998</v>
      </c>
      <c r="N40" t="str">
        <f>IF(I40="Rob","Robusta",IF(I40="Exc","Excelsa",IF(I40="Ara","Arabica",IF(I40="Lib","Liberica",""))))</f>
        <v>Robusta</v>
      </c>
      <c r="O40" t="str">
        <f t="shared" si="1"/>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INDEX(products!$A$1:$G$49,MATCH($D41,products!$A$1:$A$49,0),MATCH(orders!I$1,products!$A$1:$G$1,0))</f>
        <v>Rob</v>
      </c>
      <c r="J41" t="str">
        <f>INDEX(products!$A$1:$G$49,MATCH($D41,products!$A$1:$A$49,0),MATCH(orders!J$1,products!$A$1:$G$1,0))</f>
        <v>M</v>
      </c>
      <c r="K41" s="4">
        <f>INDEX(products!$A$1:$G$49,MATCH($D41,products!$A$1:$A$49,0),MATCH(orders!K$1,products!$A$1:$G$1,0))</f>
        <v>1</v>
      </c>
      <c r="L41" s="5">
        <f>INDEX(products!$A$1:$G$49,MATCH($D41,products!$A$1:$A$49,0),MATCH(orders!L$1,products!$A$1:$G$1,0))</f>
        <v>9.9499999999999993</v>
      </c>
      <c r="M41" s="5">
        <f t="shared" si="0"/>
        <v>59.699999999999996</v>
      </c>
      <c r="N41" t="str">
        <f>IF(I41="Rob","Robusta",IF(I41="Exc","Excelsa",IF(I41="Ara","Arabica",IF(I41="Lib","Liberica",""))))</f>
        <v>Robusta</v>
      </c>
      <c r="O41" t="str">
        <f t="shared" si="1"/>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INDEX(products!$A$1:$G$49,MATCH($D42,products!$A$1:$A$49,0),MATCH(orders!I$1,products!$A$1:$G$1,0))</f>
        <v>Lib</v>
      </c>
      <c r="J42" t="str">
        <f>INDEX(products!$A$1:$G$49,MATCH($D42,products!$A$1:$A$49,0),MATCH(orders!J$1,products!$A$1:$G$1,0))</f>
        <v>M</v>
      </c>
      <c r="K42" s="4">
        <f>INDEX(products!$A$1:$G$49,MATCH($D42,products!$A$1:$A$49,0),MATCH(orders!K$1,products!$A$1:$G$1,0))</f>
        <v>1</v>
      </c>
      <c r="L42" s="5">
        <f>INDEX(products!$A$1:$G$49,MATCH($D42,products!$A$1:$A$49,0),MATCH(orders!L$1,products!$A$1:$G$1,0))</f>
        <v>14.55</v>
      </c>
      <c r="M42" s="5">
        <f t="shared" si="0"/>
        <v>43.650000000000006</v>
      </c>
      <c r="N42" t="str">
        <f>IF(I42="Rob","Robusta",IF(I42="Exc","Excelsa",IF(I42="Ara","Arabica",IF(I42="Lib","Liberica",""))))</f>
        <v>Liberica</v>
      </c>
      <c r="O42" t="str">
        <f t="shared" si="1"/>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INDEX(products!$A$1:$G$49,MATCH($D43,products!$A$1:$A$49,0),MATCH(orders!I$1,products!$A$1:$G$1,0))</f>
        <v>Exc</v>
      </c>
      <c r="J43" t="str">
        <f>INDEX(products!$A$1:$G$49,MATCH($D43,products!$A$1:$A$49,0),MATCH(orders!J$1,products!$A$1:$G$1,0))</f>
        <v>D</v>
      </c>
      <c r="K43" s="4">
        <f>INDEX(products!$A$1:$G$49,MATCH($D43,products!$A$1:$A$49,0),MATCH(orders!K$1,products!$A$1:$G$1,0))</f>
        <v>0.2</v>
      </c>
      <c r="L43" s="5">
        <f>INDEX(products!$A$1:$G$49,MATCH($D43,products!$A$1:$A$49,0),MATCH(orders!L$1,products!$A$1:$G$1,0))</f>
        <v>3.645</v>
      </c>
      <c r="M43" s="5">
        <f t="shared" si="0"/>
        <v>7.29</v>
      </c>
      <c r="N43" t="str">
        <f>IF(I43="Rob","Robusta",IF(I43="Exc","Excelsa",IF(I43="Ara","Arabica",IF(I43="Lib","Liberica",""))))</f>
        <v>Excelsa</v>
      </c>
      <c r="O43" t="str">
        <f t="shared" si="1"/>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INDEX(products!$A$1:$G$49,MATCH($D44,products!$A$1:$A$49,0),MATCH(orders!I$1,products!$A$1:$G$1,0))</f>
        <v>Rob</v>
      </c>
      <c r="J44" t="str">
        <f>INDEX(products!$A$1:$G$49,MATCH($D44,products!$A$1:$A$49,0),MATCH(orders!J$1,products!$A$1:$G$1,0))</f>
        <v>D</v>
      </c>
      <c r="K44" s="4">
        <f>INDEX(products!$A$1:$G$49,MATCH($D44,products!$A$1:$A$49,0),MATCH(orders!K$1,products!$A$1:$G$1,0))</f>
        <v>0.2</v>
      </c>
      <c r="L44" s="5">
        <f>INDEX(products!$A$1:$G$49,MATCH($D44,products!$A$1:$A$49,0),MATCH(orders!L$1,products!$A$1:$G$1,0))</f>
        <v>2.6849999999999996</v>
      </c>
      <c r="M44" s="5">
        <f t="shared" si="0"/>
        <v>8.0549999999999997</v>
      </c>
      <c r="N44" t="str">
        <f>IF(I44="Rob","Robusta",IF(I44="Exc","Excelsa",IF(I44="Ara","Arabica",IF(I44="Lib","Liberica",""))))</f>
        <v>Robusta</v>
      </c>
      <c r="O44" t="str">
        <f t="shared" si="1"/>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INDEX(products!$A$1:$G$49,MATCH($D45,products!$A$1:$A$49,0),MATCH(orders!I$1,products!$A$1:$G$1,0))</f>
        <v>Lib</v>
      </c>
      <c r="J45" t="str">
        <f>INDEX(products!$A$1:$G$49,MATCH($D45,products!$A$1:$A$49,0),MATCH(orders!J$1,products!$A$1:$G$1,0))</f>
        <v>L</v>
      </c>
      <c r="K45" s="4">
        <f>INDEX(products!$A$1:$G$49,MATCH($D45,products!$A$1:$A$49,0),MATCH(orders!K$1,products!$A$1:$G$1,0))</f>
        <v>2.5</v>
      </c>
      <c r="L45" s="5">
        <f>INDEX(products!$A$1:$G$49,MATCH($D45,products!$A$1:$A$49,0),MATCH(orders!L$1,products!$A$1:$G$1,0))</f>
        <v>36.454999999999998</v>
      </c>
      <c r="M45" s="5">
        <f t="shared" si="0"/>
        <v>72.91</v>
      </c>
      <c r="N45" t="str">
        <f>IF(I45="Rob","Robusta",IF(I45="Exc","Excelsa",IF(I45="Ara","Arabica",IF(I45="Lib","Liberica",""))))</f>
        <v>Liberica</v>
      </c>
      <c r="O45" t="str">
        <f t="shared" si="1"/>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INDEX(products!$A$1:$G$49,MATCH($D46,products!$A$1:$A$49,0),MATCH(orders!I$1,products!$A$1:$G$1,0))</f>
        <v>Exc</v>
      </c>
      <c r="J46" t="str">
        <f>INDEX(products!$A$1:$G$49,MATCH($D46,products!$A$1:$A$49,0),MATCH(orders!J$1,products!$A$1:$G$1,0))</f>
        <v>M</v>
      </c>
      <c r="K46" s="4">
        <f>INDEX(products!$A$1:$G$49,MATCH($D46,products!$A$1:$A$49,0),MATCH(orders!K$1,products!$A$1:$G$1,0))</f>
        <v>0.5</v>
      </c>
      <c r="L46" s="5">
        <f>INDEX(products!$A$1:$G$49,MATCH($D46,products!$A$1:$A$49,0),MATCH(orders!L$1,products!$A$1:$G$1,0))</f>
        <v>8.25</v>
      </c>
      <c r="M46" s="5">
        <f t="shared" si="0"/>
        <v>16.5</v>
      </c>
      <c r="N46" t="str">
        <f>IF(I46="Rob","Robusta",IF(I46="Exc","Excelsa",IF(I46="Ara","Arabica",IF(I46="Lib","Liberica",""))))</f>
        <v>Excelsa</v>
      </c>
      <c r="O46" t="str">
        <f t="shared" si="1"/>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INDEX(products!$A$1:$G$49,MATCH($D47,products!$A$1:$A$49,0),MATCH(orders!I$1,products!$A$1:$G$1,0))</f>
        <v>Lib</v>
      </c>
      <c r="J47" t="str">
        <f>INDEX(products!$A$1:$G$49,MATCH($D47,products!$A$1:$A$49,0),MATCH(orders!J$1,products!$A$1:$G$1,0))</f>
        <v>D</v>
      </c>
      <c r="K47" s="4">
        <f>INDEX(products!$A$1:$G$49,MATCH($D47,products!$A$1:$A$49,0),MATCH(orders!K$1,products!$A$1:$G$1,0))</f>
        <v>2.5</v>
      </c>
      <c r="L47" s="5">
        <f>INDEX(products!$A$1:$G$49,MATCH($D47,products!$A$1:$A$49,0),MATCH(orders!L$1,products!$A$1:$G$1,0))</f>
        <v>29.784999999999997</v>
      </c>
      <c r="M47" s="5">
        <f t="shared" si="0"/>
        <v>178.70999999999998</v>
      </c>
      <c r="N47" t="str">
        <f>IF(I47="Rob","Robusta",IF(I47="Exc","Excelsa",IF(I47="Ara","Arabica",IF(I47="Lib","Liberica",""))))</f>
        <v>Liberica</v>
      </c>
      <c r="O47" t="str">
        <f t="shared" si="1"/>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INDEX(products!$A$1:$G$49,MATCH($D48,products!$A$1:$A$49,0),MATCH(orders!I$1,products!$A$1:$G$1,0))</f>
        <v>Exc</v>
      </c>
      <c r="J48" t="str">
        <f>INDEX(products!$A$1:$G$49,MATCH($D48,products!$A$1:$A$49,0),MATCH(orders!J$1,products!$A$1:$G$1,0))</f>
        <v>M</v>
      </c>
      <c r="K48" s="4">
        <f>INDEX(products!$A$1:$G$49,MATCH($D48,products!$A$1:$A$49,0),MATCH(orders!K$1,products!$A$1:$G$1,0))</f>
        <v>2.5</v>
      </c>
      <c r="L48" s="5">
        <f>INDEX(products!$A$1:$G$49,MATCH($D48,products!$A$1:$A$49,0),MATCH(orders!L$1,products!$A$1:$G$1,0))</f>
        <v>31.624999999999996</v>
      </c>
      <c r="M48" s="5">
        <f t="shared" si="0"/>
        <v>63.249999999999993</v>
      </c>
      <c r="N48" t="str">
        <f>IF(I48="Rob","Robusta",IF(I48="Exc","Excelsa",IF(I48="Ara","Arabica",IF(I48="Lib","Liberica",""))))</f>
        <v>Excelsa</v>
      </c>
      <c r="O48" t="str">
        <f t="shared" si="1"/>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INDEX(products!$A$1:$G$49,MATCH($D49,products!$A$1:$A$49,0),MATCH(orders!I$1,products!$A$1:$G$1,0))</f>
        <v>Ara</v>
      </c>
      <c r="J49" t="str">
        <f>INDEX(products!$A$1:$G$49,MATCH($D49,products!$A$1:$A$49,0),MATCH(orders!J$1,products!$A$1:$G$1,0))</f>
        <v>L</v>
      </c>
      <c r="K49" s="4">
        <f>INDEX(products!$A$1:$G$49,MATCH($D49,products!$A$1:$A$49,0),MATCH(orders!K$1,products!$A$1:$G$1,0))</f>
        <v>0.2</v>
      </c>
      <c r="L49" s="5">
        <f>INDEX(products!$A$1:$G$49,MATCH($D49,products!$A$1:$A$49,0),MATCH(orders!L$1,products!$A$1:$G$1,0))</f>
        <v>3.8849999999999998</v>
      </c>
      <c r="M49" s="5">
        <f t="shared" si="0"/>
        <v>7.77</v>
      </c>
      <c r="N49" t="str">
        <f>IF(I49="Rob","Robusta",IF(I49="Exc","Excelsa",IF(I49="Ara","Arabica",IF(I49="Lib","Liberica",""))))</f>
        <v>Arabica</v>
      </c>
      <c r="O49" t="str">
        <f t="shared" si="1"/>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INDEX(products!$A$1:$G$49,MATCH($D50,products!$A$1:$A$49,0),MATCH(orders!I$1,products!$A$1:$G$1,0))</f>
        <v>Ara</v>
      </c>
      <c r="J50" t="str">
        <f>INDEX(products!$A$1:$G$49,MATCH($D50,products!$A$1:$A$49,0),MATCH(orders!J$1,products!$A$1:$G$1,0))</f>
        <v>D</v>
      </c>
      <c r="K50" s="4">
        <f>INDEX(products!$A$1:$G$49,MATCH($D50,products!$A$1:$A$49,0),MATCH(orders!K$1,products!$A$1:$G$1,0))</f>
        <v>2.5</v>
      </c>
      <c r="L50" s="5">
        <f>INDEX(products!$A$1:$G$49,MATCH($D50,products!$A$1:$A$49,0),MATCH(orders!L$1,products!$A$1:$G$1,0))</f>
        <v>22.884999999999998</v>
      </c>
      <c r="M50" s="5">
        <f t="shared" si="0"/>
        <v>91.539999999999992</v>
      </c>
      <c r="N50" t="str">
        <f>IF(I50="Rob","Robusta",IF(I50="Exc","Excelsa",IF(I50="Ara","Arabica",IF(I50="Lib","Liberica",""))))</f>
        <v>Arabica</v>
      </c>
      <c r="O50" t="str">
        <f t="shared" si="1"/>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INDEX(products!$A$1:$G$49,MATCH($D51,products!$A$1:$A$49,0),MATCH(orders!I$1,products!$A$1:$G$1,0))</f>
        <v>Ara</v>
      </c>
      <c r="J51" t="str">
        <f>INDEX(products!$A$1:$G$49,MATCH($D51,products!$A$1:$A$49,0),MATCH(orders!J$1,products!$A$1:$G$1,0))</f>
        <v>L</v>
      </c>
      <c r="K51" s="4">
        <f>INDEX(products!$A$1:$G$49,MATCH($D51,products!$A$1:$A$49,0),MATCH(orders!K$1,products!$A$1:$G$1,0))</f>
        <v>1</v>
      </c>
      <c r="L51" s="5">
        <f>INDEX(products!$A$1:$G$49,MATCH($D51,products!$A$1:$A$49,0),MATCH(orders!L$1,products!$A$1:$G$1,0))</f>
        <v>12.95</v>
      </c>
      <c r="M51" s="5">
        <f t="shared" si="0"/>
        <v>38.849999999999994</v>
      </c>
      <c r="N51" t="str">
        <f>IF(I51="Rob","Robusta",IF(I51="Exc","Excelsa",IF(I51="Ara","Arabica",IF(I51="Lib","Liberica",""))))</f>
        <v>Arabica</v>
      </c>
      <c r="O51" t="str">
        <f t="shared" si="1"/>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INDEX(products!$A$1:$G$49,MATCH($D52,products!$A$1:$A$49,0),MATCH(orders!I$1,products!$A$1:$G$1,0))</f>
        <v>Lib</v>
      </c>
      <c r="J52" t="str">
        <f>INDEX(products!$A$1:$G$49,MATCH($D52,products!$A$1:$A$49,0),MATCH(orders!J$1,products!$A$1:$G$1,0))</f>
        <v>D</v>
      </c>
      <c r="K52" s="4">
        <f>INDEX(products!$A$1:$G$49,MATCH($D52,products!$A$1:$A$49,0),MATCH(orders!K$1,products!$A$1:$G$1,0))</f>
        <v>0.5</v>
      </c>
      <c r="L52" s="5">
        <f>INDEX(products!$A$1:$G$49,MATCH($D52,products!$A$1:$A$49,0),MATCH(orders!L$1,products!$A$1:$G$1,0))</f>
        <v>7.77</v>
      </c>
      <c r="M52" s="5">
        <f t="shared" si="0"/>
        <v>15.54</v>
      </c>
      <c r="N52" t="str">
        <f>IF(I52="Rob","Robusta",IF(I52="Exc","Excelsa",IF(I52="Ara","Arabica",IF(I52="Lib","Liberica",""))))</f>
        <v>Liberica</v>
      </c>
      <c r="O52" t="str">
        <f t="shared" si="1"/>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INDEX(products!$A$1:$G$49,MATCH($D53,products!$A$1:$A$49,0),MATCH(orders!I$1,products!$A$1:$G$1,0))</f>
        <v>Lib</v>
      </c>
      <c r="J53" t="str">
        <f>INDEX(products!$A$1:$G$49,MATCH($D53,products!$A$1:$A$49,0),MATCH(orders!J$1,products!$A$1:$G$1,0))</f>
        <v>L</v>
      </c>
      <c r="K53" s="4">
        <f>INDEX(products!$A$1:$G$49,MATCH($D53,products!$A$1:$A$49,0),MATCH(orders!K$1,products!$A$1:$G$1,0))</f>
        <v>2.5</v>
      </c>
      <c r="L53" s="5">
        <f>INDEX(products!$A$1:$G$49,MATCH($D53,products!$A$1:$A$49,0),MATCH(orders!L$1,products!$A$1:$G$1,0))</f>
        <v>36.454999999999998</v>
      </c>
      <c r="M53" s="5">
        <f t="shared" si="0"/>
        <v>145.82</v>
      </c>
      <c r="N53" t="str">
        <f>IF(I53="Rob","Robusta",IF(I53="Exc","Excelsa",IF(I53="Ara","Arabica",IF(I53="Lib","Liberica",""))))</f>
        <v>Liberica</v>
      </c>
      <c r="O53" t="str">
        <f t="shared" si="1"/>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INDEX(products!$A$1:$G$49,MATCH($D54,products!$A$1:$A$49,0),MATCH(orders!I$1,products!$A$1:$G$1,0))</f>
        <v>Rob</v>
      </c>
      <c r="J54" t="str">
        <f>INDEX(products!$A$1:$G$49,MATCH($D54,products!$A$1:$A$49,0),MATCH(orders!J$1,products!$A$1:$G$1,0))</f>
        <v>M</v>
      </c>
      <c r="K54" s="4">
        <f>INDEX(products!$A$1:$G$49,MATCH($D54,products!$A$1:$A$49,0),MATCH(orders!K$1,products!$A$1:$G$1,0))</f>
        <v>0.5</v>
      </c>
      <c r="L54" s="5">
        <f>INDEX(products!$A$1:$G$49,MATCH($D54,products!$A$1:$A$49,0),MATCH(orders!L$1,products!$A$1:$G$1,0))</f>
        <v>5.97</v>
      </c>
      <c r="M54" s="5">
        <f t="shared" si="0"/>
        <v>29.849999999999998</v>
      </c>
      <c r="N54" t="str">
        <f>IF(I54="Rob","Robusta",IF(I54="Exc","Excelsa",IF(I54="Ara","Arabica",IF(I54="Lib","Liberica",""))))</f>
        <v>Robusta</v>
      </c>
      <c r="O54" t="str">
        <f t="shared" si="1"/>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INDEX(products!$A$1:$G$49,MATCH($D55,products!$A$1:$A$49,0),MATCH(orders!I$1,products!$A$1:$G$1,0))</f>
        <v>Lib</v>
      </c>
      <c r="J55" t="str">
        <f>INDEX(products!$A$1:$G$49,MATCH($D55,products!$A$1:$A$49,0),MATCH(orders!J$1,products!$A$1:$G$1,0))</f>
        <v>L</v>
      </c>
      <c r="K55" s="4">
        <f>INDEX(products!$A$1:$G$49,MATCH($D55,products!$A$1:$A$49,0),MATCH(orders!K$1,products!$A$1:$G$1,0))</f>
        <v>2.5</v>
      </c>
      <c r="L55" s="5">
        <f>INDEX(products!$A$1:$G$49,MATCH($D55,products!$A$1:$A$49,0),MATCH(orders!L$1,products!$A$1:$G$1,0))</f>
        <v>36.454999999999998</v>
      </c>
      <c r="M55" s="5">
        <f t="shared" si="0"/>
        <v>72.91</v>
      </c>
      <c r="N55" t="str">
        <f>IF(I55="Rob","Robusta",IF(I55="Exc","Excelsa",IF(I55="Ara","Arabica",IF(I55="Lib","Liberica",""))))</f>
        <v>Liberica</v>
      </c>
      <c r="O55" t="str">
        <f t="shared" si="1"/>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INDEX(products!$A$1:$G$49,MATCH($D56,products!$A$1:$A$49,0),MATCH(orders!I$1,products!$A$1:$G$1,0))</f>
        <v>Lib</v>
      </c>
      <c r="J56" t="str">
        <f>INDEX(products!$A$1:$G$49,MATCH($D56,products!$A$1:$A$49,0),MATCH(orders!J$1,products!$A$1:$G$1,0))</f>
        <v>M</v>
      </c>
      <c r="K56" s="4">
        <f>INDEX(products!$A$1:$G$49,MATCH($D56,products!$A$1:$A$49,0),MATCH(orders!K$1,products!$A$1:$G$1,0))</f>
        <v>1</v>
      </c>
      <c r="L56" s="5">
        <f>INDEX(products!$A$1:$G$49,MATCH($D56,products!$A$1:$A$49,0),MATCH(orders!L$1,products!$A$1:$G$1,0))</f>
        <v>14.55</v>
      </c>
      <c r="M56" s="5">
        <f t="shared" si="0"/>
        <v>72.75</v>
      </c>
      <c r="N56" t="str">
        <f>IF(I56="Rob","Robusta",IF(I56="Exc","Excelsa",IF(I56="Ara","Arabica",IF(I56="Lib","Liberica",""))))</f>
        <v>Liberica</v>
      </c>
      <c r="O56" t="str">
        <f t="shared" si="1"/>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INDEX(products!$A$1:$G$49,MATCH($D57,products!$A$1:$A$49,0),MATCH(orders!I$1,products!$A$1:$G$1,0))</f>
        <v>Lib</v>
      </c>
      <c r="J57" t="str">
        <f>INDEX(products!$A$1:$G$49,MATCH($D57,products!$A$1:$A$49,0),MATCH(orders!J$1,products!$A$1:$G$1,0))</f>
        <v>L</v>
      </c>
      <c r="K57" s="4">
        <f>INDEX(products!$A$1:$G$49,MATCH($D57,products!$A$1:$A$49,0),MATCH(orders!K$1,products!$A$1:$G$1,0))</f>
        <v>1</v>
      </c>
      <c r="L57" s="5">
        <f>INDEX(products!$A$1:$G$49,MATCH($D57,products!$A$1:$A$49,0),MATCH(orders!L$1,products!$A$1:$G$1,0))</f>
        <v>15.85</v>
      </c>
      <c r="M57" s="5">
        <f t="shared" si="0"/>
        <v>47.55</v>
      </c>
      <c r="N57" t="str">
        <f>IF(I57="Rob","Robusta",IF(I57="Exc","Excelsa",IF(I57="Ara","Arabica",IF(I57="Lib","Liberica",""))))</f>
        <v>Liberica</v>
      </c>
      <c r="O57" t="str">
        <f t="shared" si="1"/>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INDEX(products!$A$1:$G$49,MATCH($D58,products!$A$1:$A$49,0),MATCH(orders!I$1,products!$A$1:$G$1,0))</f>
        <v>Exc</v>
      </c>
      <c r="J58" t="str">
        <f>INDEX(products!$A$1:$G$49,MATCH($D58,products!$A$1:$A$49,0),MATCH(orders!J$1,products!$A$1:$G$1,0))</f>
        <v>D</v>
      </c>
      <c r="K58" s="4">
        <f>INDEX(products!$A$1:$G$49,MATCH($D58,products!$A$1:$A$49,0),MATCH(orders!K$1,products!$A$1:$G$1,0))</f>
        <v>0.2</v>
      </c>
      <c r="L58" s="5">
        <f>INDEX(products!$A$1:$G$49,MATCH($D58,products!$A$1:$A$49,0),MATCH(orders!L$1,products!$A$1:$G$1,0))</f>
        <v>3.645</v>
      </c>
      <c r="M58" s="5">
        <f t="shared" si="0"/>
        <v>10.935</v>
      </c>
      <c r="N58" t="str">
        <f>IF(I58="Rob","Robusta",IF(I58="Exc","Excelsa",IF(I58="Ara","Arabica",IF(I58="Lib","Liberica",""))))</f>
        <v>Excelsa</v>
      </c>
      <c r="O58" t="str">
        <f t="shared" si="1"/>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INDEX(products!$A$1:$G$49,MATCH($D59,products!$A$1:$A$49,0),MATCH(orders!I$1,products!$A$1:$G$1,0))</f>
        <v>Exc</v>
      </c>
      <c r="J59" t="str">
        <f>INDEX(products!$A$1:$G$49,MATCH($D59,products!$A$1:$A$49,0),MATCH(orders!J$1,products!$A$1:$G$1,0))</f>
        <v>L</v>
      </c>
      <c r="K59" s="4">
        <f>INDEX(products!$A$1:$G$49,MATCH($D59,products!$A$1:$A$49,0),MATCH(orders!K$1,products!$A$1:$G$1,0))</f>
        <v>1</v>
      </c>
      <c r="L59" s="5">
        <f>INDEX(products!$A$1:$G$49,MATCH($D59,products!$A$1:$A$49,0),MATCH(orders!L$1,products!$A$1:$G$1,0))</f>
        <v>14.85</v>
      </c>
      <c r="M59" s="5">
        <f t="shared" si="0"/>
        <v>59.4</v>
      </c>
      <c r="N59" t="str">
        <f>IF(I59="Rob","Robusta",IF(I59="Exc","Excelsa",IF(I59="Ara","Arabica",IF(I59="Lib","Liberica",""))))</f>
        <v>Excelsa</v>
      </c>
      <c r="O59" t="str">
        <f t="shared" si="1"/>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INDEX(products!$A$1:$G$49,MATCH($D60,products!$A$1:$A$49,0),MATCH(orders!I$1,products!$A$1:$G$1,0))</f>
        <v>Lib</v>
      </c>
      <c r="J60" t="str">
        <f>INDEX(products!$A$1:$G$49,MATCH($D60,products!$A$1:$A$49,0),MATCH(orders!J$1,products!$A$1:$G$1,0))</f>
        <v>D</v>
      </c>
      <c r="K60" s="4">
        <f>INDEX(products!$A$1:$G$49,MATCH($D60,products!$A$1:$A$49,0),MATCH(orders!K$1,products!$A$1:$G$1,0))</f>
        <v>2.5</v>
      </c>
      <c r="L60" s="5">
        <f>INDEX(products!$A$1:$G$49,MATCH($D60,products!$A$1:$A$49,0),MATCH(orders!L$1,products!$A$1:$G$1,0))</f>
        <v>29.784999999999997</v>
      </c>
      <c r="M60" s="5">
        <f t="shared" si="0"/>
        <v>89.35499999999999</v>
      </c>
      <c r="N60" t="str">
        <f>IF(I60="Rob","Robusta",IF(I60="Exc","Excelsa",IF(I60="Ara","Arabica",IF(I60="Lib","Liberica",""))))</f>
        <v>Liberica</v>
      </c>
      <c r="O60" t="str">
        <f t="shared" si="1"/>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INDEX(products!$A$1:$G$49,MATCH($D61,products!$A$1:$A$49,0),MATCH(orders!I$1,products!$A$1:$G$1,0))</f>
        <v>Lib</v>
      </c>
      <c r="J61" t="str">
        <f>INDEX(products!$A$1:$G$49,MATCH($D61,products!$A$1:$A$49,0),MATCH(orders!J$1,products!$A$1:$G$1,0))</f>
        <v>M</v>
      </c>
      <c r="K61" s="4">
        <f>INDEX(products!$A$1:$G$49,MATCH($D61,products!$A$1:$A$49,0),MATCH(orders!K$1,products!$A$1:$G$1,0))</f>
        <v>0.5</v>
      </c>
      <c r="L61" s="5">
        <f>INDEX(products!$A$1:$G$49,MATCH($D61,products!$A$1:$A$49,0),MATCH(orders!L$1,products!$A$1:$G$1,0))</f>
        <v>8.73</v>
      </c>
      <c r="M61" s="5">
        <f t="shared" si="0"/>
        <v>26.19</v>
      </c>
      <c r="N61" t="str">
        <f>IF(I61="Rob","Robusta",IF(I61="Exc","Excelsa",IF(I61="Ara","Arabica",IF(I61="Lib","Liberica",""))))</f>
        <v>Liberica</v>
      </c>
      <c r="O61" t="str">
        <f t="shared" si="1"/>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INDEX(products!$A$1:$G$49,MATCH($D62,products!$A$1:$A$49,0),MATCH(orders!I$1,products!$A$1:$G$1,0))</f>
        <v>Ara</v>
      </c>
      <c r="J62" t="str">
        <f>INDEX(products!$A$1:$G$49,MATCH($D62,products!$A$1:$A$49,0),MATCH(orders!J$1,products!$A$1:$G$1,0))</f>
        <v>D</v>
      </c>
      <c r="K62" s="4">
        <f>INDEX(products!$A$1:$G$49,MATCH($D62,products!$A$1:$A$49,0),MATCH(orders!K$1,products!$A$1:$G$1,0))</f>
        <v>2.5</v>
      </c>
      <c r="L62" s="5">
        <f>INDEX(products!$A$1:$G$49,MATCH($D62,products!$A$1:$A$49,0),MATCH(orders!L$1,products!$A$1:$G$1,0))</f>
        <v>22.884999999999998</v>
      </c>
      <c r="M62" s="5">
        <f t="shared" si="0"/>
        <v>114.42499999999998</v>
      </c>
      <c r="N62" t="str">
        <f>IF(I62="Rob","Robusta",IF(I62="Exc","Excelsa",IF(I62="Ara","Arabica",IF(I62="Lib","Liberica",""))))</f>
        <v>Arabica</v>
      </c>
      <c r="O62" t="str">
        <f t="shared" si="1"/>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INDEX(products!$A$1:$G$49,MATCH($D63,products!$A$1:$A$49,0),MATCH(orders!I$1,products!$A$1:$G$1,0))</f>
        <v>Rob</v>
      </c>
      <c r="J63" t="str">
        <f>INDEX(products!$A$1:$G$49,MATCH($D63,products!$A$1:$A$49,0),MATCH(orders!J$1,products!$A$1:$G$1,0))</f>
        <v>D</v>
      </c>
      <c r="K63" s="4">
        <f>INDEX(products!$A$1:$G$49,MATCH($D63,products!$A$1:$A$49,0),MATCH(orders!K$1,products!$A$1:$G$1,0))</f>
        <v>0.5</v>
      </c>
      <c r="L63" s="5">
        <f>INDEX(products!$A$1:$G$49,MATCH($D63,products!$A$1:$A$49,0),MATCH(orders!L$1,products!$A$1:$G$1,0))</f>
        <v>5.3699999999999992</v>
      </c>
      <c r="M63" s="5">
        <f t="shared" si="0"/>
        <v>26.849999999999994</v>
      </c>
      <c r="N63" t="str">
        <f>IF(I63="Rob","Robusta",IF(I63="Exc","Excelsa",IF(I63="Ara","Arabica",IF(I63="Lib","Liberica",""))))</f>
        <v>Robusta</v>
      </c>
      <c r="O63" t="str">
        <f t="shared" si="1"/>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INDEX(products!$A$1:$G$49,MATCH($D64,products!$A$1:$A$49,0),MATCH(orders!I$1,products!$A$1:$G$1,0))</f>
        <v>Lib</v>
      </c>
      <c r="J64" t="str">
        <f>INDEX(products!$A$1:$G$49,MATCH($D64,products!$A$1:$A$49,0),MATCH(orders!J$1,products!$A$1:$G$1,0))</f>
        <v>L</v>
      </c>
      <c r="K64" s="4">
        <f>INDEX(products!$A$1:$G$49,MATCH($D64,products!$A$1:$A$49,0),MATCH(orders!K$1,products!$A$1:$G$1,0))</f>
        <v>0.2</v>
      </c>
      <c r="L64" s="5">
        <f>INDEX(products!$A$1:$G$49,MATCH($D64,products!$A$1:$A$49,0),MATCH(orders!L$1,products!$A$1:$G$1,0))</f>
        <v>4.7549999999999999</v>
      </c>
      <c r="M64" s="5">
        <f t="shared" si="0"/>
        <v>23.774999999999999</v>
      </c>
      <c r="N64" t="str">
        <f>IF(I64="Rob","Robusta",IF(I64="Exc","Excelsa",IF(I64="Ara","Arabica",IF(I64="Lib","Liberica",""))))</f>
        <v>Liberica</v>
      </c>
      <c r="O64" t="str">
        <f t="shared" si="1"/>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INDEX(products!$A$1:$G$49,MATCH($D65,products!$A$1:$A$49,0),MATCH(orders!I$1,products!$A$1:$G$1,0))</f>
        <v>Ara</v>
      </c>
      <c r="J65" t="str">
        <f>INDEX(products!$A$1:$G$49,MATCH($D65,products!$A$1:$A$49,0),MATCH(orders!J$1,products!$A$1:$G$1,0))</f>
        <v>M</v>
      </c>
      <c r="K65" s="4">
        <f>INDEX(products!$A$1:$G$49,MATCH($D65,products!$A$1:$A$49,0),MATCH(orders!K$1,products!$A$1:$G$1,0))</f>
        <v>0.5</v>
      </c>
      <c r="L65" s="5">
        <f>INDEX(products!$A$1:$G$49,MATCH($D65,products!$A$1:$A$49,0),MATCH(orders!L$1,products!$A$1:$G$1,0))</f>
        <v>6.75</v>
      </c>
      <c r="M65" s="5">
        <f t="shared" si="0"/>
        <v>6.75</v>
      </c>
      <c r="N65" t="str">
        <f>IF(I65="Rob","Robusta",IF(I65="Exc","Excelsa",IF(I65="Ara","Arabica",IF(I65="Lib","Liberica",""))))</f>
        <v>Arabica</v>
      </c>
      <c r="O65" t="str">
        <f t="shared" si="1"/>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INDEX(products!$A$1:$G$49,MATCH($D66,products!$A$1:$A$49,0),MATCH(orders!I$1,products!$A$1:$G$1,0))</f>
        <v>Rob</v>
      </c>
      <c r="J66" t="str">
        <f>INDEX(products!$A$1:$G$49,MATCH($D66,products!$A$1:$A$49,0),MATCH(orders!J$1,products!$A$1:$G$1,0))</f>
        <v>M</v>
      </c>
      <c r="K66" s="4">
        <f>INDEX(products!$A$1:$G$49,MATCH($D66,products!$A$1:$A$49,0),MATCH(orders!K$1,products!$A$1:$G$1,0))</f>
        <v>0.5</v>
      </c>
      <c r="L66" s="5">
        <f>INDEX(products!$A$1:$G$49,MATCH($D66,products!$A$1:$A$49,0),MATCH(orders!L$1,products!$A$1:$G$1,0))</f>
        <v>5.97</v>
      </c>
      <c r="M66" s="5">
        <f t="shared" si="0"/>
        <v>35.82</v>
      </c>
      <c r="N66" t="str">
        <f>IF(I66="Rob","Robusta",IF(I66="Exc","Excelsa",IF(I66="Ara","Arabica",IF(I66="Lib","Liberica",""))))</f>
        <v>Robusta</v>
      </c>
      <c r="O66" t="str">
        <f t="shared" si="1"/>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INDEX(products!$A$1:$G$49,MATCH($D67,products!$A$1:$A$49,0),MATCH(orders!I$1,products!$A$1:$G$1,0))</f>
        <v>Rob</v>
      </c>
      <c r="J67" t="str">
        <f>INDEX(products!$A$1:$G$49,MATCH($D67,products!$A$1:$A$49,0),MATCH(orders!J$1,products!$A$1:$G$1,0))</f>
        <v>D</v>
      </c>
      <c r="K67" s="4">
        <f>INDEX(products!$A$1:$G$49,MATCH($D67,products!$A$1:$A$49,0),MATCH(orders!K$1,products!$A$1:$G$1,0))</f>
        <v>2.5</v>
      </c>
      <c r="L67" s="5">
        <f>INDEX(products!$A$1:$G$49,MATCH($D67,products!$A$1:$A$49,0),MATCH(orders!L$1,products!$A$1:$G$1,0))</f>
        <v>20.584999999999997</v>
      </c>
      <c r="M67" s="5">
        <f t="shared" ref="M67:M130" si="2">L67*E67</f>
        <v>82.339999999999989</v>
      </c>
      <c r="N67" t="str">
        <f>IF(I67="Rob","Robusta",IF(I67="Exc","Excelsa",IF(I67="Ara","Arabica",IF(I67="Lib","Liberica",""))))</f>
        <v>Robusta</v>
      </c>
      <c r="O67" t="str">
        <f t="shared" ref="O67:O130" si="3">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INDEX(products!$A$1:$G$49,MATCH($D68,products!$A$1:$A$49,0),MATCH(orders!I$1,products!$A$1:$G$1,0))</f>
        <v>Rob</v>
      </c>
      <c r="J68" t="str">
        <f>INDEX(products!$A$1:$G$49,MATCH($D68,products!$A$1:$A$49,0),MATCH(orders!J$1,products!$A$1:$G$1,0))</f>
        <v>L</v>
      </c>
      <c r="K68" s="4">
        <f>INDEX(products!$A$1:$G$49,MATCH($D68,products!$A$1:$A$49,0),MATCH(orders!K$1,products!$A$1:$G$1,0))</f>
        <v>0.5</v>
      </c>
      <c r="L68" s="5">
        <f>INDEX(products!$A$1:$G$49,MATCH($D68,products!$A$1:$A$49,0),MATCH(orders!L$1,products!$A$1:$G$1,0))</f>
        <v>7.169999999999999</v>
      </c>
      <c r="M68" s="5">
        <f t="shared" si="2"/>
        <v>7.169999999999999</v>
      </c>
      <c r="N68" t="str">
        <f>IF(I68="Rob","Robusta",IF(I68="Exc","Excelsa",IF(I68="Ara","Arabica",IF(I68="Lib","Liberica",""))))</f>
        <v>Robusta</v>
      </c>
      <c r="O68" t="str">
        <f t="shared" si="3"/>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INDEX(products!$A$1:$G$49,MATCH($D69,products!$A$1:$A$49,0),MATCH(orders!I$1,products!$A$1:$G$1,0))</f>
        <v>Lib</v>
      </c>
      <c r="J69" t="str">
        <f>INDEX(products!$A$1:$G$49,MATCH($D69,products!$A$1:$A$49,0),MATCH(orders!J$1,products!$A$1:$G$1,0))</f>
        <v>L</v>
      </c>
      <c r="K69" s="4">
        <f>INDEX(products!$A$1:$G$49,MATCH($D69,products!$A$1:$A$49,0),MATCH(orders!K$1,products!$A$1:$G$1,0))</f>
        <v>0.2</v>
      </c>
      <c r="L69" s="5">
        <f>INDEX(products!$A$1:$G$49,MATCH($D69,products!$A$1:$A$49,0),MATCH(orders!L$1,products!$A$1:$G$1,0))</f>
        <v>4.7549999999999999</v>
      </c>
      <c r="M69" s="5">
        <f t="shared" si="2"/>
        <v>9.51</v>
      </c>
      <c r="N69" t="str">
        <f>IF(I69="Rob","Robusta",IF(I69="Exc","Excelsa",IF(I69="Ara","Arabica",IF(I69="Lib","Liberica",""))))</f>
        <v>Liberica</v>
      </c>
      <c r="O69" t="str">
        <f t="shared" si="3"/>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INDEX(products!$A$1:$G$49,MATCH($D70,products!$A$1:$A$49,0),MATCH(orders!I$1,products!$A$1:$G$1,0))</f>
        <v>Rob</v>
      </c>
      <c r="J70" t="str">
        <f>INDEX(products!$A$1:$G$49,MATCH($D70,products!$A$1:$A$49,0),MATCH(orders!J$1,products!$A$1:$G$1,0))</f>
        <v>M</v>
      </c>
      <c r="K70" s="4">
        <f>INDEX(products!$A$1:$G$49,MATCH($D70,products!$A$1:$A$49,0),MATCH(orders!K$1,products!$A$1:$G$1,0))</f>
        <v>0.2</v>
      </c>
      <c r="L70" s="5">
        <f>INDEX(products!$A$1:$G$49,MATCH($D70,products!$A$1:$A$49,0),MATCH(orders!L$1,products!$A$1:$G$1,0))</f>
        <v>2.9849999999999999</v>
      </c>
      <c r="M70" s="5">
        <f t="shared" si="2"/>
        <v>2.9849999999999999</v>
      </c>
      <c r="N70" t="str">
        <f>IF(I70="Rob","Robusta",IF(I70="Exc","Excelsa",IF(I70="Ara","Arabica",IF(I70="Lib","Liberica",""))))</f>
        <v>Robusta</v>
      </c>
      <c r="O70" t="str">
        <f t="shared" si="3"/>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INDEX(products!$A$1:$G$49,MATCH($D71,products!$A$1:$A$49,0),MATCH(orders!I$1,products!$A$1:$G$1,0))</f>
        <v>Rob</v>
      </c>
      <c r="J71" t="str">
        <f>INDEX(products!$A$1:$G$49,MATCH($D71,products!$A$1:$A$49,0),MATCH(orders!J$1,products!$A$1:$G$1,0))</f>
        <v>M</v>
      </c>
      <c r="K71" s="4">
        <f>INDEX(products!$A$1:$G$49,MATCH($D71,products!$A$1:$A$49,0),MATCH(orders!K$1,products!$A$1:$G$1,0))</f>
        <v>1</v>
      </c>
      <c r="L71" s="5">
        <f>INDEX(products!$A$1:$G$49,MATCH($D71,products!$A$1:$A$49,0),MATCH(orders!L$1,products!$A$1:$G$1,0))</f>
        <v>9.9499999999999993</v>
      </c>
      <c r="M71" s="5">
        <f t="shared" si="2"/>
        <v>59.699999999999996</v>
      </c>
      <c r="N71" t="str">
        <f>IF(I71="Rob","Robusta",IF(I71="Exc","Excelsa",IF(I71="Ara","Arabica",IF(I71="Lib","Liberica",""))))</f>
        <v>Robusta</v>
      </c>
      <c r="O71" t="str">
        <f t="shared" si="3"/>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INDEX(products!$A$1:$G$49,MATCH($D72,products!$A$1:$A$49,0),MATCH(orders!I$1,products!$A$1:$G$1,0))</f>
        <v>Exc</v>
      </c>
      <c r="J72" t="str">
        <f>INDEX(products!$A$1:$G$49,MATCH($D72,products!$A$1:$A$49,0),MATCH(orders!J$1,products!$A$1:$G$1,0))</f>
        <v>L</v>
      </c>
      <c r="K72" s="4">
        <f>INDEX(products!$A$1:$G$49,MATCH($D72,products!$A$1:$A$49,0),MATCH(orders!K$1,products!$A$1:$G$1,0))</f>
        <v>2.5</v>
      </c>
      <c r="L72" s="5">
        <f>INDEX(products!$A$1:$G$49,MATCH($D72,products!$A$1:$A$49,0),MATCH(orders!L$1,products!$A$1:$G$1,0))</f>
        <v>34.154999999999994</v>
      </c>
      <c r="M72" s="5">
        <f t="shared" si="2"/>
        <v>136.61999999999998</v>
      </c>
      <c r="N72" t="str">
        <f>IF(I72="Rob","Robusta",IF(I72="Exc","Excelsa",IF(I72="Ara","Arabica",IF(I72="Lib","Liberica",""))))</f>
        <v>Excelsa</v>
      </c>
      <c r="O72" t="str">
        <f t="shared" si="3"/>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INDEX(products!$A$1:$G$49,MATCH($D73,products!$A$1:$A$49,0),MATCH(orders!I$1,products!$A$1:$G$1,0))</f>
        <v>Lib</v>
      </c>
      <c r="J73" t="str">
        <f>INDEX(products!$A$1:$G$49,MATCH($D73,products!$A$1:$A$49,0),MATCH(orders!J$1,products!$A$1:$G$1,0))</f>
        <v>L</v>
      </c>
      <c r="K73" s="4">
        <f>INDEX(products!$A$1:$G$49,MATCH($D73,products!$A$1:$A$49,0),MATCH(orders!K$1,products!$A$1:$G$1,0))</f>
        <v>0.2</v>
      </c>
      <c r="L73" s="5">
        <f>INDEX(products!$A$1:$G$49,MATCH($D73,products!$A$1:$A$49,0),MATCH(orders!L$1,products!$A$1:$G$1,0))</f>
        <v>4.7549999999999999</v>
      </c>
      <c r="M73" s="5">
        <f t="shared" si="2"/>
        <v>9.51</v>
      </c>
      <c r="N73" t="str">
        <f>IF(I73="Rob","Robusta",IF(I73="Exc","Excelsa",IF(I73="Ara","Arabica",IF(I73="Lib","Liberica",""))))</f>
        <v>Liberica</v>
      </c>
      <c r="O73" t="str">
        <f t="shared" si="3"/>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INDEX(products!$A$1:$G$49,MATCH($D74,products!$A$1:$A$49,0),MATCH(orders!I$1,products!$A$1:$G$1,0))</f>
        <v>Ara</v>
      </c>
      <c r="J74" t="str">
        <f>INDEX(products!$A$1:$G$49,MATCH($D74,products!$A$1:$A$49,0),MATCH(orders!J$1,products!$A$1:$G$1,0))</f>
        <v>M</v>
      </c>
      <c r="K74" s="4">
        <f>INDEX(products!$A$1:$G$49,MATCH($D74,products!$A$1:$A$49,0),MATCH(orders!K$1,products!$A$1:$G$1,0))</f>
        <v>2.5</v>
      </c>
      <c r="L74" s="5">
        <f>INDEX(products!$A$1:$G$49,MATCH($D74,products!$A$1:$A$49,0),MATCH(orders!L$1,products!$A$1:$G$1,0))</f>
        <v>25.874999999999996</v>
      </c>
      <c r="M74" s="5">
        <f t="shared" si="2"/>
        <v>77.624999999999986</v>
      </c>
      <c r="N74" t="str">
        <f>IF(I74="Rob","Robusta",IF(I74="Exc","Excelsa",IF(I74="Ara","Arabica",IF(I74="Lib","Liberica",""))))</f>
        <v>Arabica</v>
      </c>
      <c r="O74" t="str">
        <f t="shared" si="3"/>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INDEX(products!$A$1:$G$49,MATCH($D75,products!$A$1:$A$49,0),MATCH(orders!I$1,products!$A$1:$G$1,0))</f>
        <v>Lib</v>
      </c>
      <c r="J75" t="str">
        <f>INDEX(products!$A$1:$G$49,MATCH($D75,products!$A$1:$A$49,0),MATCH(orders!J$1,products!$A$1:$G$1,0))</f>
        <v>M</v>
      </c>
      <c r="K75" s="4">
        <f>INDEX(products!$A$1:$G$49,MATCH($D75,products!$A$1:$A$49,0),MATCH(orders!K$1,products!$A$1:$G$1,0))</f>
        <v>0.2</v>
      </c>
      <c r="L75" s="5">
        <f>INDEX(products!$A$1:$G$49,MATCH($D75,products!$A$1:$A$49,0),MATCH(orders!L$1,products!$A$1:$G$1,0))</f>
        <v>4.3650000000000002</v>
      </c>
      <c r="M75" s="5">
        <f t="shared" si="2"/>
        <v>21.825000000000003</v>
      </c>
      <c r="N75" t="str">
        <f>IF(I75="Rob","Robusta",IF(I75="Exc","Excelsa",IF(I75="Ara","Arabica",IF(I75="Lib","Liberica",""))))</f>
        <v>Liberica</v>
      </c>
      <c r="O75" t="str">
        <f t="shared" si="3"/>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INDEX(products!$A$1:$G$49,MATCH($D76,products!$A$1:$A$49,0),MATCH(orders!I$1,products!$A$1:$G$1,0))</f>
        <v>Exc</v>
      </c>
      <c r="J76" t="str">
        <f>INDEX(products!$A$1:$G$49,MATCH($D76,products!$A$1:$A$49,0),MATCH(orders!J$1,products!$A$1:$G$1,0))</f>
        <v>L</v>
      </c>
      <c r="K76" s="4">
        <f>INDEX(products!$A$1:$G$49,MATCH($D76,products!$A$1:$A$49,0),MATCH(orders!K$1,products!$A$1:$G$1,0))</f>
        <v>0.5</v>
      </c>
      <c r="L76" s="5">
        <f>INDEX(products!$A$1:$G$49,MATCH($D76,products!$A$1:$A$49,0),MATCH(orders!L$1,products!$A$1:$G$1,0))</f>
        <v>8.91</v>
      </c>
      <c r="M76" s="5">
        <f t="shared" si="2"/>
        <v>17.82</v>
      </c>
      <c r="N76" t="str">
        <f>IF(I76="Rob","Robusta",IF(I76="Exc","Excelsa",IF(I76="Ara","Arabica",IF(I76="Lib","Liberica",""))))</f>
        <v>Excelsa</v>
      </c>
      <c r="O76" t="str">
        <f t="shared" si="3"/>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INDEX(products!$A$1:$G$49,MATCH($D77,products!$A$1:$A$49,0),MATCH(orders!I$1,products!$A$1:$G$1,0))</f>
        <v>Rob</v>
      </c>
      <c r="J77" t="str">
        <f>INDEX(products!$A$1:$G$49,MATCH($D77,products!$A$1:$A$49,0),MATCH(orders!J$1,products!$A$1:$G$1,0))</f>
        <v>D</v>
      </c>
      <c r="K77" s="4">
        <f>INDEX(products!$A$1:$G$49,MATCH($D77,products!$A$1:$A$49,0),MATCH(orders!K$1,products!$A$1:$G$1,0))</f>
        <v>1</v>
      </c>
      <c r="L77" s="5">
        <f>INDEX(products!$A$1:$G$49,MATCH($D77,products!$A$1:$A$49,0),MATCH(orders!L$1,products!$A$1:$G$1,0))</f>
        <v>8.9499999999999993</v>
      </c>
      <c r="M77" s="5">
        <f t="shared" si="2"/>
        <v>53.699999999999996</v>
      </c>
      <c r="N77" t="str">
        <f>IF(I77="Rob","Robusta",IF(I77="Exc","Excelsa",IF(I77="Ara","Arabica",IF(I77="Lib","Liberica",""))))</f>
        <v>Robusta</v>
      </c>
      <c r="O77" t="str">
        <f t="shared" si="3"/>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INDEX(products!$A$1:$G$49,MATCH($D78,products!$A$1:$A$49,0),MATCH(orders!I$1,products!$A$1:$G$1,0))</f>
        <v>Rob</v>
      </c>
      <c r="J78" t="str">
        <f>INDEX(products!$A$1:$G$49,MATCH($D78,products!$A$1:$A$49,0),MATCH(orders!J$1,products!$A$1:$G$1,0))</f>
        <v>L</v>
      </c>
      <c r="K78" s="4">
        <f>INDEX(products!$A$1:$G$49,MATCH($D78,products!$A$1:$A$49,0),MATCH(orders!K$1,products!$A$1:$G$1,0))</f>
        <v>0.2</v>
      </c>
      <c r="L78" s="5">
        <f>INDEX(products!$A$1:$G$49,MATCH($D78,products!$A$1:$A$49,0),MATCH(orders!L$1,products!$A$1:$G$1,0))</f>
        <v>3.5849999999999995</v>
      </c>
      <c r="M78" s="5">
        <f t="shared" si="2"/>
        <v>3.5849999999999995</v>
      </c>
      <c r="N78" t="str">
        <f>IF(I78="Rob","Robusta",IF(I78="Exc","Excelsa",IF(I78="Ara","Arabica",IF(I78="Lib","Liberica",""))))</f>
        <v>Robusta</v>
      </c>
      <c r="O78" t="str">
        <f t="shared" si="3"/>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INDEX(products!$A$1:$G$49,MATCH($D79,products!$A$1:$A$49,0),MATCH(orders!I$1,products!$A$1:$G$1,0))</f>
        <v>Exc</v>
      </c>
      <c r="J79" t="str">
        <f>INDEX(products!$A$1:$G$49,MATCH($D79,products!$A$1:$A$49,0),MATCH(orders!J$1,products!$A$1:$G$1,0))</f>
        <v>D</v>
      </c>
      <c r="K79" s="4">
        <f>INDEX(products!$A$1:$G$49,MATCH($D79,products!$A$1:$A$49,0),MATCH(orders!K$1,products!$A$1:$G$1,0))</f>
        <v>0.2</v>
      </c>
      <c r="L79" s="5">
        <f>INDEX(products!$A$1:$G$49,MATCH($D79,products!$A$1:$A$49,0),MATCH(orders!L$1,products!$A$1:$G$1,0))</f>
        <v>3.645</v>
      </c>
      <c r="M79" s="5">
        <f t="shared" si="2"/>
        <v>7.29</v>
      </c>
      <c r="N79" t="str">
        <f>IF(I79="Rob","Robusta",IF(I79="Exc","Excelsa",IF(I79="Ara","Arabica",IF(I79="Lib","Liberica",""))))</f>
        <v>Excelsa</v>
      </c>
      <c r="O79" t="str">
        <f t="shared" si="3"/>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INDEX(products!$A$1:$G$49,MATCH($D80,products!$A$1:$A$49,0),MATCH(orders!I$1,products!$A$1:$G$1,0))</f>
        <v>Ara</v>
      </c>
      <c r="J80" t="str">
        <f>INDEX(products!$A$1:$G$49,MATCH($D80,products!$A$1:$A$49,0),MATCH(orders!J$1,products!$A$1:$G$1,0))</f>
        <v>M</v>
      </c>
      <c r="K80" s="4">
        <f>INDEX(products!$A$1:$G$49,MATCH($D80,products!$A$1:$A$49,0),MATCH(orders!K$1,products!$A$1:$G$1,0))</f>
        <v>0.5</v>
      </c>
      <c r="L80" s="5">
        <f>INDEX(products!$A$1:$G$49,MATCH($D80,products!$A$1:$A$49,0),MATCH(orders!L$1,products!$A$1:$G$1,0))</f>
        <v>6.75</v>
      </c>
      <c r="M80" s="5">
        <f t="shared" si="2"/>
        <v>40.5</v>
      </c>
      <c r="N80" t="str">
        <f>IF(I80="Rob","Robusta",IF(I80="Exc","Excelsa",IF(I80="Ara","Arabica",IF(I80="Lib","Liberica",""))))</f>
        <v>Arabica</v>
      </c>
      <c r="O80" t="str">
        <f t="shared" si="3"/>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INDEX(products!$A$1:$G$49,MATCH($D81,products!$A$1:$A$49,0),MATCH(orders!I$1,products!$A$1:$G$1,0))</f>
        <v>Rob</v>
      </c>
      <c r="J81" t="str">
        <f>INDEX(products!$A$1:$G$49,MATCH($D81,products!$A$1:$A$49,0),MATCH(orders!J$1,products!$A$1:$G$1,0))</f>
        <v>L</v>
      </c>
      <c r="K81" s="4">
        <f>INDEX(products!$A$1:$G$49,MATCH($D81,products!$A$1:$A$49,0),MATCH(orders!K$1,products!$A$1:$G$1,0))</f>
        <v>1</v>
      </c>
      <c r="L81" s="5">
        <f>INDEX(products!$A$1:$G$49,MATCH($D81,products!$A$1:$A$49,0),MATCH(orders!L$1,products!$A$1:$G$1,0))</f>
        <v>11.95</v>
      </c>
      <c r="M81" s="5">
        <f t="shared" si="2"/>
        <v>47.8</v>
      </c>
      <c r="N81" t="str">
        <f>IF(I81="Rob","Robusta",IF(I81="Exc","Excelsa",IF(I81="Ara","Arabica",IF(I81="Lib","Liberica",""))))</f>
        <v>Robusta</v>
      </c>
      <c r="O81" t="str">
        <f t="shared" si="3"/>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INDEX(products!$A$1:$G$49,MATCH($D82,products!$A$1:$A$49,0),MATCH(orders!I$1,products!$A$1:$G$1,0))</f>
        <v>Ara</v>
      </c>
      <c r="J82" t="str">
        <f>INDEX(products!$A$1:$G$49,MATCH($D82,products!$A$1:$A$49,0),MATCH(orders!J$1,products!$A$1:$G$1,0))</f>
        <v>L</v>
      </c>
      <c r="K82" s="4">
        <f>INDEX(products!$A$1:$G$49,MATCH($D82,products!$A$1:$A$49,0),MATCH(orders!K$1,products!$A$1:$G$1,0))</f>
        <v>0.5</v>
      </c>
      <c r="L82" s="5">
        <f>INDEX(products!$A$1:$G$49,MATCH($D82,products!$A$1:$A$49,0),MATCH(orders!L$1,products!$A$1:$G$1,0))</f>
        <v>7.77</v>
      </c>
      <c r="M82" s="5">
        <f t="shared" si="2"/>
        <v>38.849999999999994</v>
      </c>
      <c r="N82" t="str">
        <f>IF(I82="Rob","Robusta",IF(I82="Exc","Excelsa",IF(I82="Ara","Arabica",IF(I82="Lib","Liberica",""))))</f>
        <v>Arabica</v>
      </c>
      <c r="O82" t="str">
        <f t="shared" si="3"/>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INDEX(products!$A$1:$G$49,MATCH($D83,products!$A$1:$A$49,0),MATCH(orders!I$1,products!$A$1:$G$1,0))</f>
        <v>Lib</v>
      </c>
      <c r="J83" t="str">
        <f>INDEX(products!$A$1:$G$49,MATCH($D83,products!$A$1:$A$49,0),MATCH(orders!J$1,products!$A$1:$G$1,0))</f>
        <v>L</v>
      </c>
      <c r="K83" s="4">
        <f>INDEX(products!$A$1:$G$49,MATCH($D83,products!$A$1:$A$49,0),MATCH(orders!K$1,products!$A$1:$G$1,0))</f>
        <v>2.5</v>
      </c>
      <c r="L83" s="5">
        <f>INDEX(products!$A$1:$G$49,MATCH($D83,products!$A$1:$A$49,0),MATCH(orders!L$1,products!$A$1:$G$1,0))</f>
        <v>36.454999999999998</v>
      </c>
      <c r="M83" s="5">
        <f t="shared" si="2"/>
        <v>109.36499999999999</v>
      </c>
      <c r="N83" t="str">
        <f>IF(I83="Rob","Robusta",IF(I83="Exc","Excelsa",IF(I83="Ara","Arabica",IF(I83="Lib","Liberica",""))))</f>
        <v>Liberica</v>
      </c>
      <c r="O83" t="str">
        <f t="shared" si="3"/>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INDEX(products!$A$1:$G$49,MATCH($D84,products!$A$1:$A$49,0),MATCH(orders!I$1,products!$A$1:$G$1,0))</f>
        <v>Lib</v>
      </c>
      <c r="J84" t="str">
        <f>INDEX(products!$A$1:$G$49,MATCH($D84,products!$A$1:$A$49,0),MATCH(orders!J$1,products!$A$1:$G$1,0))</f>
        <v>M</v>
      </c>
      <c r="K84" s="4">
        <f>INDEX(products!$A$1:$G$49,MATCH($D84,products!$A$1:$A$49,0),MATCH(orders!K$1,products!$A$1:$G$1,0))</f>
        <v>2.5</v>
      </c>
      <c r="L84" s="5">
        <f>INDEX(products!$A$1:$G$49,MATCH($D84,products!$A$1:$A$49,0),MATCH(orders!L$1,products!$A$1:$G$1,0))</f>
        <v>33.464999999999996</v>
      </c>
      <c r="M84" s="5">
        <f t="shared" si="2"/>
        <v>100.39499999999998</v>
      </c>
      <c r="N84" t="str">
        <f>IF(I84="Rob","Robusta",IF(I84="Exc","Excelsa",IF(I84="Ara","Arabica",IF(I84="Lib","Liberica",""))))</f>
        <v>Liberica</v>
      </c>
      <c r="O84" t="str">
        <f t="shared" si="3"/>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INDEX(products!$A$1:$G$49,MATCH($D85,products!$A$1:$A$49,0),MATCH(orders!I$1,products!$A$1:$G$1,0))</f>
        <v>Rob</v>
      </c>
      <c r="J85" t="str">
        <f>INDEX(products!$A$1:$G$49,MATCH($D85,products!$A$1:$A$49,0),MATCH(orders!J$1,products!$A$1:$G$1,0))</f>
        <v>D</v>
      </c>
      <c r="K85" s="4">
        <f>INDEX(products!$A$1:$G$49,MATCH($D85,products!$A$1:$A$49,0),MATCH(orders!K$1,products!$A$1:$G$1,0))</f>
        <v>2.5</v>
      </c>
      <c r="L85" s="5">
        <f>INDEX(products!$A$1:$G$49,MATCH($D85,products!$A$1:$A$49,0),MATCH(orders!L$1,products!$A$1:$G$1,0))</f>
        <v>20.584999999999997</v>
      </c>
      <c r="M85" s="5">
        <f t="shared" si="2"/>
        <v>82.339999999999989</v>
      </c>
      <c r="N85" t="str">
        <f>IF(I85="Rob","Robusta",IF(I85="Exc","Excelsa",IF(I85="Ara","Arabica",IF(I85="Lib","Liberica",""))))</f>
        <v>Robusta</v>
      </c>
      <c r="O85" t="str">
        <f t="shared" si="3"/>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INDEX(products!$A$1:$G$49,MATCH($D86,products!$A$1:$A$49,0),MATCH(orders!I$1,products!$A$1:$G$1,0))</f>
        <v>Lib</v>
      </c>
      <c r="J86" t="str">
        <f>INDEX(products!$A$1:$G$49,MATCH($D86,products!$A$1:$A$49,0),MATCH(orders!J$1,products!$A$1:$G$1,0))</f>
        <v>L</v>
      </c>
      <c r="K86" s="4">
        <f>INDEX(products!$A$1:$G$49,MATCH($D86,products!$A$1:$A$49,0),MATCH(orders!K$1,products!$A$1:$G$1,0))</f>
        <v>0.5</v>
      </c>
      <c r="L86" s="5">
        <f>INDEX(products!$A$1:$G$49,MATCH($D86,products!$A$1:$A$49,0),MATCH(orders!L$1,products!$A$1:$G$1,0))</f>
        <v>9.51</v>
      </c>
      <c r="M86" s="5">
        <f t="shared" si="2"/>
        <v>9.51</v>
      </c>
      <c r="N86" t="str">
        <f>IF(I86="Rob","Robusta",IF(I86="Exc","Excelsa",IF(I86="Ara","Arabica",IF(I86="Lib","Liberica",""))))</f>
        <v>Liberica</v>
      </c>
      <c r="O86" t="str">
        <f t="shared" si="3"/>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INDEX(products!$A$1:$G$49,MATCH($D87,products!$A$1:$A$49,0),MATCH(orders!I$1,products!$A$1:$G$1,0))</f>
        <v>Ara</v>
      </c>
      <c r="J87" t="str">
        <f>INDEX(products!$A$1:$G$49,MATCH($D87,products!$A$1:$A$49,0),MATCH(orders!J$1,products!$A$1:$G$1,0))</f>
        <v>L</v>
      </c>
      <c r="K87" s="4">
        <f>INDEX(products!$A$1:$G$49,MATCH($D87,products!$A$1:$A$49,0),MATCH(orders!K$1,products!$A$1:$G$1,0))</f>
        <v>2.5</v>
      </c>
      <c r="L87" s="5">
        <f>INDEX(products!$A$1:$G$49,MATCH($D87,products!$A$1:$A$49,0),MATCH(orders!L$1,products!$A$1:$G$1,0))</f>
        <v>29.784999999999997</v>
      </c>
      <c r="M87" s="5">
        <f t="shared" si="2"/>
        <v>89.35499999999999</v>
      </c>
      <c r="N87" t="str">
        <f>IF(I87="Rob","Robusta",IF(I87="Exc","Excelsa",IF(I87="Ara","Arabica",IF(I87="Lib","Liberica",""))))</f>
        <v>Arabica</v>
      </c>
      <c r="O87" t="str">
        <f t="shared" si="3"/>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INDEX(products!$A$1:$G$49,MATCH($D88,products!$A$1:$A$49,0),MATCH(orders!I$1,products!$A$1:$G$1,0))</f>
        <v>Ara</v>
      </c>
      <c r="J88" t="str">
        <f>INDEX(products!$A$1:$G$49,MATCH($D88,products!$A$1:$A$49,0),MATCH(orders!J$1,products!$A$1:$G$1,0))</f>
        <v>D</v>
      </c>
      <c r="K88" s="4">
        <f>INDEX(products!$A$1:$G$49,MATCH($D88,products!$A$1:$A$49,0),MATCH(orders!K$1,products!$A$1:$G$1,0))</f>
        <v>0.2</v>
      </c>
      <c r="L88" s="5">
        <f>INDEX(products!$A$1:$G$49,MATCH($D88,products!$A$1:$A$49,0),MATCH(orders!L$1,products!$A$1:$G$1,0))</f>
        <v>2.9849999999999999</v>
      </c>
      <c r="M88" s="5">
        <f t="shared" si="2"/>
        <v>11.94</v>
      </c>
      <c r="N88" t="str">
        <f>IF(I88="Rob","Robusta",IF(I88="Exc","Excelsa",IF(I88="Ara","Arabica",IF(I88="Lib","Liberica",""))))</f>
        <v>Arabica</v>
      </c>
      <c r="O88" t="str">
        <f t="shared" si="3"/>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INDEX(products!$A$1:$G$49,MATCH($D89,products!$A$1:$A$49,0),MATCH(orders!I$1,products!$A$1:$G$1,0))</f>
        <v>Ara</v>
      </c>
      <c r="J89" t="str">
        <f>INDEX(products!$A$1:$G$49,MATCH($D89,products!$A$1:$A$49,0),MATCH(orders!J$1,products!$A$1:$G$1,0))</f>
        <v>M</v>
      </c>
      <c r="K89" s="4">
        <f>INDEX(products!$A$1:$G$49,MATCH($D89,products!$A$1:$A$49,0),MATCH(orders!K$1,products!$A$1:$G$1,0))</f>
        <v>1</v>
      </c>
      <c r="L89" s="5">
        <f>INDEX(products!$A$1:$G$49,MATCH($D89,products!$A$1:$A$49,0),MATCH(orders!L$1,products!$A$1:$G$1,0))</f>
        <v>11.25</v>
      </c>
      <c r="M89" s="5">
        <f t="shared" si="2"/>
        <v>33.75</v>
      </c>
      <c r="N89" t="str">
        <f>IF(I89="Rob","Robusta",IF(I89="Exc","Excelsa",IF(I89="Ara","Arabica",IF(I89="Lib","Liberica",""))))</f>
        <v>Arabica</v>
      </c>
      <c r="O89" t="str">
        <f t="shared" si="3"/>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INDEX(products!$A$1:$G$49,MATCH($D90,products!$A$1:$A$49,0),MATCH(orders!I$1,products!$A$1:$G$1,0))</f>
        <v>Rob</v>
      </c>
      <c r="J90" t="str">
        <f>INDEX(products!$A$1:$G$49,MATCH($D90,products!$A$1:$A$49,0),MATCH(orders!J$1,products!$A$1:$G$1,0))</f>
        <v>L</v>
      </c>
      <c r="K90" s="4">
        <f>INDEX(products!$A$1:$G$49,MATCH($D90,products!$A$1:$A$49,0),MATCH(orders!K$1,products!$A$1:$G$1,0))</f>
        <v>1</v>
      </c>
      <c r="L90" s="5">
        <f>INDEX(products!$A$1:$G$49,MATCH($D90,products!$A$1:$A$49,0),MATCH(orders!L$1,products!$A$1:$G$1,0))</f>
        <v>11.95</v>
      </c>
      <c r="M90" s="5">
        <f t="shared" si="2"/>
        <v>35.849999999999994</v>
      </c>
      <c r="N90" t="str">
        <f>IF(I90="Rob","Robusta",IF(I90="Exc","Excelsa",IF(I90="Ara","Arabica",IF(I90="Lib","Liberica",""))))</f>
        <v>Robusta</v>
      </c>
      <c r="O90" t="str">
        <f t="shared" si="3"/>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INDEX(products!$A$1:$G$49,MATCH($D91,products!$A$1:$A$49,0),MATCH(orders!I$1,products!$A$1:$G$1,0))</f>
        <v>Ara</v>
      </c>
      <c r="J91" t="str">
        <f>INDEX(products!$A$1:$G$49,MATCH($D91,products!$A$1:$A$49,0),MATCH(orders!J$1,products!$A$1:$G$1,0))</f>
        <v>L</v>
      </c>
      <c r="K91" s="4">
        <f>INDEX(products!$A$1:$G$49,MATCH($D91,products!$A$1:$A$49,0),MATCH(orders!K$1,products!$A$1:$G$1,0))</f>
        <v>1</v>
      </c>
      <c r="L91" s="5">
        <f>INDEX(products!$A$1:$G$49,MATCH($D91,products!$A$1:$A$49,0),MATCH(orders!L$1,products!$A$1:$G$1,0))</f>
        <v>12.95</v>
      </c>
      <c r="M91" s="5">
        <f t="shared" si="2"/>
        <v>77.699999999999989</v>
      </c>
      <c r="N91" t="str">
        <f>IF(I91="Rob","Robusta",IF(I91="Exc","Excelsa",IF(I91="Ara","Arabica",IF(I91="Lib","Liberica",""))))</f>
        <v>Arabica</v>
      </c>
      <c r="O91" t="str">
        <f t="shared" si="3"/>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INDEX(products!$A$1:$G$49,MATCH($D92,products!$A$1:$A$49,0),MATCH(orders!I$1,products!$A$1:$G$1,0))</f>
        <v>Ara</v>
      </c>
      <c r="J92" t="str">
        <f>INDEX(products!$A$1:$G$49,MATCH($D92,products!$A$1:$A$49,0),MATCH(orders!J$1,products!$A$1:$G$1,0))</f>
        <v>L</v>
      </c>
      <c r="K92" s="4">
        <f>INDEX(products!$A$1:$G$49,MATCH($D92,products!$A$1:$A$49,0),MATCH(orders!K$1,products!$A$1:$G$1,0))</f>
        <v>1</v>
      </c>
      <c r="L92" s="5">
        <f>INDEX(products!$A$1:$G$49,MATCH($D92,products!$A$1:$A$49,0),MATCH(orders!L$1,products!$A$1:$G$1,0))</f>
        <v>12.95</v>
      </c>
      <c r="M92" s="5">
        <f t="shared" si="2"/>
        <v>51.8</v>
      </c>
      <c r="N92" t="str">
        <f>IF(I92="Rob","Robusta",IF(I92="Exc","Excelsa",IF(I92="Ara","Arabica",IF(I92="Lib","Liberica",""))))</f>
        <v>Arabica</v>
      </c>
      <c r="O92" t="str">
        <f t="shared" si="3"/>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INDEX(products!$A$1:$G$49,MATCH($D93,products!$A$1:$A$49,0),MATCH(orders!I$1,products!$A$1:$G$1,0))</f>
        <v>Ara</v>
      </c>
      <c r="J93" t="str">
        <f>INDEX(products!$A$1:$G$49,MATCH($D93,products!$A$1:$A$49,0),MATCH(orders!J$1,products!$A$1:$G$1,0))</f>
        <v>M</v>
      </c>
      <c r="K93" s="4">
        <f>INDEX(products!$A$1:$G$49,MATCH($D93,products!$A$1:$A$49,0),MATCH(orders!K$1,products!$A$1:$G$1,0))</f>
        <v>2.5</v>
      </c>
      <c r="L93" s="5">
        <f>INDEX(products!$A$1:$G$49,MATCH($D93,products!$A$1:$A$49,0),MATCH(orders!L$1,products!$A$1:$G$1,0))</f>
        <v>25.874999999999996</v>
      </c>
      <c r="M93" s="5">
        <f t="shared" si="2"/>
        <v>103.49999999999999</v>
      </c>
      <c r="N93" t="str">
        <f>IF(I93="Rob","Robusta",IF(I93="Exc","Excelsa",IF(I93="Ara","Arabica",IF(I93="Lib","Liberica",""))))</f>
        <v>Arabica</v>
      </c>
      <c r="O93" t="str">
        <f t="shared" si="3"/>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INDEX(products!$A$1:$G$49,MATCH($D94,products!$A$1:$A$49,0),MATCH(orders!I$1,products!$A$1:$G$1,0))</f>
        <v>Exc</v>
      </c>
      <c r="J94" t="str">
        <f>INDEX(products!$A$1:$G$49,MATCH($D94,products!$A$1:$A$49,0),MATCH(orders!J$1,products!$A$1:$G$1,0))</f>
        <v>L</v>
      </c>
      <c r="K94" s="4">
        <f>INDEX(products!$A$1:$G$49,MATCH($D94,products!$A$1:$A$49,0),MATCH(orders!K$1,products!$A$1:$G$1,0))</f>
        <v>1</v>
      </c>
      <c r="L94" s="5">
        <f>INDEX(products!$A$1:$G$49,MATCH($D94,products!$A$1:$A$49,0),MATCH(orders!L$1,products!$A$1:$G$1,0))</f>
        <v>14.85</v>
      </c>
      <c r="M94" s="5">
        <f t="shared" si="2"/>
        <v>44.55</v>
      </c>
      <c r="N94" t="str">
        <f>IF(I94="Rob","Robusta",IF(I94="Exc","Excelsa",IF(I94="Ara","Arabica",IF(I94="Lib","Liberica",""))))</f>
        <v>Excelsa</v>
      </c>
      <c r="O94" t="str">
        <f t="shared" si="3"/>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INDEX(products!$A$1:$G$49,MATCH($D95,products!$A$1:$A$49,0),MATCH(orders!I$1,products!$A$1:$G$1,0))</f>
        <v>Exc</v>
      </c>
      <c r="J95" t="str">
        <f>INDEX(products!$A$1:$G$49,MATCH($D95,products!$A$1:$A$49,0),MATCH(orders!J$1,products!$A$1:$G$1,0))</f>
        <v>L</v>
      </c>
      <c r="K95" s="4">
        <f>INDEX(products!$A$1:$G$49,MATCH($D95,products!$A$1:$A$49,0),MATCH(orders!K$1,products!$A$1:$G$1,0))</f>
        <v>0.5</v>
      </c>
      <c r="L95" s="5">
        <f>INDEX(products!$A$1:$G$49,MATCH($D95,products!$A$1:$A$49,0),MATCH(orders!L$1,products!$A$1:$G$1,0))</f>
        <v>8.91</v>
      </c>
      <c r="M95" s="5">
        <f t="shared" si="2"/>
        <v>35.64</v>
      </c>
      <c r="N95" t="str">
        <f>IF(I95="Rob","Robusta",IF(I95="Exc","Excelsa",IF(I95="Ara","Arabica",IF(I95="Lib","Liberica",""))))</f>
        <v>Excelsa</v>
      </c>
      <c r="O95" t="str">
        <f t="shared" si="3"/>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INDEX(products!$A$1:$G$49,MATCH($D96,products!$A$1:$A$49,0),MATCH(orders!I$1,products!$A$1:$G$1,0))</f>
        <v>Ara</v>
      </c>
      <c r="J96" t="str">
        <f>INDEX(products!$A$1:$G$49,MATCH($D96,products!$A$1:$A$49,0),MATCH(orders!J$1,products!$A$1:$G$1,0))</f>
        <v>D</v>
      </c>
      <c r="K96" s="4">
        <f>INDEX(products!$A$1:$G$49,MATCH($D96,products!$A$1:$A$49,0),MATCH(orders!K$1,products!$A$1:$G$1,0))</f>
        <v>0.2</v>
      </c>
      <c r="L96" s="5">
        <f>INDEX(products!$A$1:$G$49,MATCH($D96,products!$A$1:$A$49,0),MATCH(orders!L$1,products!$A$1:$G$1,0))</f>
        <v>2.9849999999999999</v>
      </c>
      <c r="M96" s="5">
        <f t="shared" si="2"/>
        <v>17.91</v>
      </c>
      <c r="N96" t="str">
        <f>IF(I96="Rob","Robusta",IF(I96="Exc","Excelsa",IF(I96="Ara","Arabica",IF(I96="Lib","Liberica",""))))</f>
        <v>Arabica</v>
      </c>
      <c r="O96" t="str">
        <f t="shared" si="3"/>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INDEX(products!$A$1:$G$49,MATCH($D97,products!$A$1:$A$49,0),MATCH(orders!I$1,products!$A$1:$G$1,0))</f>
        <v>Ara</v>
      </c>
      <c r="J97" t="str">
        <f>INDEX(products!$A$1:$G$49,MATCH($D97,products!$A$1:$A$49,0),MATCH(orders!J$1,products!$A$1:$G$1,0))</f>
        <v>M</v>
      </c>
      <c r="K97" s="4">
        <f>INDEX(products!$A$1:$G$49,MATCH($D97,products!$A$1:$A$49,0),MATCH(orders!K$1,products!$A$1:$G$1,0))</f>
        <v>2.5</v>
      </c>
      <c r="L97" s="5">
        <f>INDEX(products!$A$1:$G$49,MATCH($D97,products!$A$1:$A$49,0),MATCH(orders!L$1,products!$A$1:$G$1,0))</f>
        <v>25.874999999999996</v>
      </c>
      <c r="M97" s="5">
        <f t="shared" si="2"/>
        <v>155.24999999999997</v>
      </c>
      <c r="N97" t="str">
        <f>IF(I97="Rob","Robusta",IF(I97="Exc","Excelsa",IF(I97="Ara","Arabica",IF(I97="Lib","Liberica",""))))</f>
        <v>Arabica</v>
      </c>
      <c r="O97" t="str">
        <f t="shared" si="3"/>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INDEX(products!$A$1:$G$49,MATCH($D98,products!$A$1:$A$49,0),MATCH(orders!I$1,products!$A$1:$G$1,0))</f>
        <v>Ara</v>
      </c>
      <c r="J98" t="str">
        <f>INDEX(products!$A$1:$G$49,MATCH($D98,products!$A$1:$A$49,0),MATCH(orders!J$1,products!$A$1:$G$1,0))</f>
        <v>D</v>
      </c>
      <c r="K98" s="4">
        <f>INDEX(products!$A$1:$G$49,MATCH($D98,products!$A$1:$A$49,0),MATCH(orders!K$1,products!$A$1:$G$1,0))</f>
        <v>0.2</v>
      </c>
      <c r="L98" s="5">
        <f>INDEX(products!$A$1:$G$49,MATCH($D98,products!$A$1:$A$49,0),MATCH(orders!L$1,products!$A$1:$G$1,0))</f>
        <v>2.9849999999999999</v>
      </c>
      <c r="M98" s="5">
        <f t="shared" si="2"/>
        <v>5.97</v>
      </c>
      <c r="N98" t="str">
        <f>IF(I98="Rob","Robusta",IF(I98="Exc","Excelsa",IF(I98="Ara","Arabica",IF(I98="Lib","Liberica",""))))</f>
        <v>Arabica</v>
      </c>
      <c r="O98" t="str">
        <f t="shared" si="3"/>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INDEX(products!$A$1:$G$49,MATCH($D99,products!$A$1:$A$49,0),MATCH(orders!I$1,products!$A$1:$G$1,0))</f>
        <v>Ara</v>
      </c>
      <c r="J99" t="str">
        <f>INDEX(products!$A$1:$G$49,MATCH($D99,products!$A$1:$A$49,0),MATCH(orders!J$1,products!$A$1:$G$1,0))</f>
        <v>M</v>
      </c>
      <c r="K99" s="4">
        <f>INDEX(products!$A$1:$G$49,MATCH($D99,products!$A$1:$A$49,0),MATCH(orders!K$1,products!$A$1:$G$1,0))</f>
        <v>0.5</v>
      </c>
      <c r="L99" s="5">
        <f>INDEX(products!$A$1:$G$49,MATCH($D99,products!$A$1:$A$49,0),MATCH(orders!L$1,products!$A$1:$G$1,0))</f>
        <v>6.75</v>
      </c>
      <c r="M99" s="5">
        <f t="shared" si="2"/>
        <v>13.5</v>
      </c>
      <c r="N99" t="str">
        <f>IF(I99="Rob","Robusta",IF(I99="Exc","Excelsa",IF(I99="Ara","Arabica",IF(I99="Lib","Liberica",""))))</f>
        <v>Arabica</v>
      </c>
      <c r="O99" t="str">
        <f t="shared" si="3"/>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INDEX(products!$A$1:$G$49,MATCH($D100,products!$A$1:$A$49,0),MATCH(orders!I$1,products!$A$1:$G$1,0))</f>
        <v>Ara</v>
      </c>
      <c r="J100" t="str">
        <f>INDEX(products!$A$1:$G$49,MATCH($D100,products!$A$1:$A$49,0),MATCH(orders!J$1,products!$A$1:$G$1,0))</f>
        <v>D</v>
      </c>
      <c r="K100" s="4">
        <f>INDEX(products!$A$1:$G$49,MATCH($D100,products!$A$1:$A$49,0),MATCH(orders!K$1,products!$A$1:$G$1,0))</f>
        <v>0.2</v>
      </c>
      <c r="L100" s="5">
        <f>INDEX(products!$A$1:$G$49,MATCH($D100,products!$A$1:$A$49,0),MATCH(orders!L$1,products!$A$1:$G$1,0))</f>
        <v>2.9849999999999999</v>
      </c>
      <c r="M100" s="5">
        <f t="shared" si="2"/>
        <v>2.9849999999999999</v>
      </c>
      <c r="N100" t="str">
        <f>IF(I100="Rob","Robusta",IF(I100="Exc","Excelsa",IF(I100="Ara","Arabica",IF(I100="Lib","Liberica",""))))</f>
        <v>Arabica</v>
      </c>
      <c r="O100" t="str">
        <f t="shared" si="3"/>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INDEX(products!$A$1:$G$49,MATCH($D101,products!$A$1:$A$49,0),MATCH(orders!I$1,products!$A$1:$G$1,0))</f>
        <v>Lib</v>
      </c>
      <c r="J101" t="str">
        <f>INDEX(products!$A$1:$G$49,MATCH($D101,products!$A$1:$A$49,0),MATCH(orders!J$1,products!$A$1:$G$1,0))</f>
        <v>M</v>
      </c>
      <c r="K101" s="4">
        <f>INDEX(products!$A$1:$G$49,MATCH($D101,products!$A$1:$A$49,0),MATCH(orders!K$1,products!$A$1:$G$1,0))</f>
        <v>0.2</v>
      </c>
      <c r="L101" s="5">
        <f>INDEX(products!$A$1:$G$49,MATCH($D101,products!$A$1:$A$49,0),MATCH(orders!L$1,products!$A$1:$G$1,0))</f>
        <v>4.3650000000000002</v>
      </c>
      <c r="M101" s="5">
        <f t="shared" si="2"/>
        <v>13.095000000000001</v>
      </c>
      <c r="N101" t="str">
        <f>IF(I101="Rob","Robusta",IF(I101="Exc","Excelsa",IF(I101="Ara","Arabica",IF(I101="Lib","Liberica",""))))</f>
        <v>Liberica</v>
      </c>
      <c r="O101" t="str">
        <f t="shared" si="3"/>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INDEX(products!$A$1:$G$49,MATCH($D102,products!$A$1:$A$49,0),MATCH(orders!I$1,products!$A$1:$G$1,0))</f>
        <v>Ara</v>
      </c>
      <c r="J102" t="str">
        <f>INDEX(products!$A$1:$G$49,MATCH($D102,products!$A$1:$A$49,0),MATCH(orders!J$1,products!$A$1:$G$1,0))</f>
        <v>L</v>
      </c>
      <c r="K102" s="4">
        <f>INDEX(products!$A$1:$G$49,MATCH($D102,products!$A$1:$A$49,0),MATCH(orders!K$1,products!$A$1:$G$1,0))</f>
        <v>0.2</v>
      </c>
      <c r="L102" s="5">
        <f>INDEX(products!$A$1:$G$49,MATCH($D102,products!$A$1:$A$49,0),MATCH(orders!L$1,products!$A$1:$G$1,0))</f>
        <v>3.8849999999999998</v>
      </c>
      <c r="M102" s="5">
        <f t="shared" si="2"/>
        <v>7.77</v>
      </c>
      <c r="N102" t="str">
        <f>IF(I102="Rob","Robusta",IF(I102="Exc","Excelsa",IF(I102="Ara","Arabica",IF(I102="Lib","Liberica",""))))</f>
        <v>Arabica</v>
      </c>
      <c r="O102" t="str">
        <f t="shared" si="3"/>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INDEX(products!$A$1:$G$49,MATCH($D103,products!$A$1:$A$49,0),MATCH(orders!I$1,products!$A$1:$G$1,0))</f>
        <v>Lib</v>
      </c>
      <c r="J103" t="str">
        <f>INDEX(products!$A$1:$G$49,MATCH($D103,products!$A$1:$A$49,0),MATCH(orders!J$1,products!$A$1:$G$1,0))</f>
        <v>D</v>
      </c>
      <c r="K103" s="4">
        <f>INDEX(products!$A$1:$G$49,MATCH($D103,products!$A$1:$A$49,0),MATCH(orders!K$1,products!$A$1:$G$1,0))</f>
        <v>2.5</v>
      </c>
      <c r="L103" s="5">
        <f>INDEX(products!$A$1:$G$49,MATCH($D103,products!$A$1:$A$49,0),MATCH(orders!L$1,products!$A$1:$G$1,0))</f>
        <v>29.784999999999997</v>
      </c>
      <c r="M103" s="5">
        <f t="shared" si="2"/>
        <v>148.92499999999998</v>
      </c>
      <c r="N103" t="str">
        <f>IF(I103="Rob","Robusta",IF(I103="Exc","Excelsa",IF(I103="Ara","Arabica",IF(I103="Lib","Liberica",""))))</f>
        <v>Liberica</v>
      </c>
      <c r="O103" t="str">
        <f t="shared" si="3"/>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INDEX(products!$A$1:$G$49,MATCH($D104,products!$A$1:$A$49,0),MATCH(orders!I$1,products!$A$1:$G$1,0))</f>
        <v>Lib</v>
      </c>
      <c r="J104" t="str">
        <f>INDEX(products!$A$1:$G$49,MATCH($D104,products!$A$1:$A$49,0),MATCH(orders!J$1,products!$A$1:$G$1,0))</f>
        <v>D</v>
      </c>
      <c r="K104" s="4">
        <f>INDEX(products!$A$1:$G$49,MATCH($D104,products!$A$1:$A$49,0),MATCH(orders!K$1,products!$A$1:$G$1,0))</f>
        <v>1</v>
      </c>
      <c r="L104" s="5">
        <f>INDEX(products!$A$1:$G$49,MATCH($D104,products!$A$1:$A$49,0),MATCH(orders!L$1,products!$A$1:$G$1,0))</f>
        <v>12.95</v>
      </c>
      <c r="M104" s="5">
        <f t="shared" si="2"/>
        <v>38.849999999999994</v>
      </c>
      <c r="N104" t="str">
        <f>IF(I104="Rob","Robusta",IF(I104="Exc","Excelsa",IF(I104="Ara","Arabica",IF(I104="Lib","Liberica",""))))</f>
        <v>Liberica</v>
      </c>
      <c r="O104" t="str">
        <f t="shared" si="3"/>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INDEX(products!$A$1:$G$49,MATCH($D105,products!$A$1:$A$49,0),MATCH(orders!I$1,products!$A$1:$G$1,0))</f>
        <v>Rob</v>
      </c>
      <c r="J105" t="str">
        <f>INDEX(products!$A$1:$G$49,MATCH($D105,products!$A$1:$A$49,0),MATCH(orders!J$1,products!$A$1:$G$1,0))</f>
        <v>M</v>
      </c>
      <c r="K105" s="4">
        <f>INDEX(products!$A$1:$G$49,MATCH($D105,products!$A$1:$A$49,0),MATCH(orders!K$1,products!$A$1:$G$1,0))</f>
        <v>0.2</v>
      </c>
      <c r="L105" s="5">
        <f>INDEX(products!$A$1:$G$49,MATCH($D105,products!$A$1:$A$49,0),MATCH(orders!L$1,products!$A$1:$G$1,0))</f>
        <v>2.9849999999999999</v>
      </c>
      <c r="M105" s="5">
        <f t="shared" si="2"/>
        <v>11.94</v>
      </c>
      <c r="N105" t="str">
        <f>IF(I105="Rob","Robusta",IF(I105="Exc","Excelsa",IF(I105="Ara","Arabica",IF(I105="Lib","Liberica",""))))</f>
        <v>Robusta</v>
      </c>
      <c r="O105" t="str">
        <f t="shared" si="3"/>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INDEX(products!$A$1:$G$49,MATCH($D106,products!$A$1:$A$49,0),MATCH(orders!I$1,products!$A$1:$G$1,0))</f>
        <v>Lib</v>
      </c>
      <c r="J106" t="str">
        <f>INDEX(products!$A$1:$G$49,MATCH($D106,products!$A$1:$A$49,0),MATCH(orders!J$1,products!$A$1:$G$1,0))</f>
        <v>M</v>
      </c>
      <c r="K106" s="4">
        <f>INDEX(products!$A$1:$G$49,MATCH($D106,products!$A$1:$A$49,0),MATCH(orders!K$1,products!$A$1:$G$1,0))</f>
        <v>1</v>
      </c>
      <c r="L106" s="5">
        <f>INDEX(products!$A$1:$G$49,MATCH($D106,products!$A$1:$A$49,0),MATCH(orders!L$1,products!$A$1:$G$1,0))</f>
        <v>14.55</v>
      </c>
      <c r="M106" s="5">
        <f t="shared" si="2"/>
        <v>87.300000000000011</v>
      </c>
      <c r="N106" t="str">
        <f>IF(I106="Rob","Robusta",IF(I106="Exc","Excelsa",IF(I106="Ara","Arabica",IF(I106="Lib","Liberica",""))))</f>
        <v>Liberica</v>
      </c>
      <c r="O106" t="str">
        <f t="shared" si="3"/>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INDEX(products!$A$1:$G$49,MATCH($D107,products!$A$1:$A$49,0),MATCH(orders!I$1,products!$A$1:$G$1,0))</f>
        <v>Ara</v>
      </c>
      <c r="J107" t="str">
        <f>INDEX(products!$A$1:$G$49,MATCH($D107,products!$A$1:$A$49,0),MATCH(orders!J$1,products!$A$1:$G$1,0))</f>
        <v>M</v>
      </c>
      <c r="K107" s="4">
        <f>INDEX(products!$A$1:$G$49,MATCH($D107,products!$A$1:$A$49,0),MATCH(orders!K$1,products!$A$1:$G$1,0))</f>
        <v>0.5</v>
      </c>
      <c r="L107" s="5">
        <f>INDEX(products!$A$1:$G$49,MATCH($D107,products!$A$1:$A$49,0),MATCH(orders!L$1,products!$A$1:$G$1,0))</f>
        <v>6.75</v>
      </c>
      <c r="M107" s="5">
        <f t="shared" si="2"/>
        <v>40.5</v>
      </c>
      <c r="N107" t="str">
        <f>IF(I107="Rob","Robusta",IF(I107="Exc","Excelsa",IF(I107="Ara","Arabica",IF(I107="Lib","Liberica",""))))</f>
        <v>Arabica</v>
      </c>
      <c r="O107" t="str">
        <f t="shared" si="3"/>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INDEX(products!$A$1:$G$49,MATCH($D108,products!$A$1:$A$49,0),MATCH(orders!I$1,products!$A$1:$G$1,0))</f>
        <v>Exc</v>
      </c>
      <c r="J108" t="str">
        <f>INDEX(products!$A$1:$G$49,MATCH($D108,products!$A$1:$A$49,0),MATCH(orders!J$1,products!$A$1:$G$1,0))</f>
        <v>D</v>
      </c>
      <c r="K108" s="4">
        <f>INDEX(products!$A$1:$G$49,MATCH($D108,products!$A$1:$A$49,0),MATCH(orders!K$1,products!$A$1:$G$1,0))</f>
        <v>1</v>
      </c>
      <c r="L108" s="5">
        <f>INDEX(products!$A$1:$G$49,MATCH($D108,products!$A$1:$A$49,0),MATCH(orders!L$1,products!$A$1:$G$1,0))</f>
        <v>12.15</v>
      </c>
      <c r="M108" s="5">
        <f t="shared" si="2"/>
        <v>24.3</v>
      </c>
      <c r="N108" t="str">
        <f>IF(I108="Rob","Robusta",IF(I108="Exc","Excelsa",IF(I108="Ara","Arabica",IF(I108="Lib","Liberica",""))))</f>
        <v>Excelsa</v>
      </c>
      <c r="O108" t="str">
        <f t="shared" si="3"/>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INDEX(products!$A$1:$G$49,MATCH($D109,products!$A$1:$A$49,0),MATCH(orders!I$1,products!$A$1:$G$1,0))</f>
        <v>Rob</v>
      </c>
      <c r="J109" t="str">
        <f>INDEX(products!$A$1:$G$49,MATCH($D109,products!$A$1:$A$49,0),MATCH(orders!J$1,products!$A$1:$G$1,0))</f>
        <v>M</v>
      </c>
      <c r="K109" s="4">
        <f>INDEX(products!$A$1:$G$49,MATCH($D109,products!$A$1:$A$49,0),MATCH(orders!K$1,products!$A$1:$G$1,0))</f>
        <v>0.5</v>
      </c>
      <c r="L109" s="5">
        <f>INDEX(products!$A$1:$G$49,MATCH($D109,products!$A$1:$A$49,0),MATCH(orders!L$1,products!$A$1:$G$1,0))</f>
        <v>5.97</v>
      </c>
      <c r="M109" s="5">
        <f t="shared" si="2"/>
        <v>17.91</v>
      </c>
      <c r="N109" t="str">
        <f>IF(I109="Rob","Robusta",IF(I109="Exc","Excelsa",IF(I109="Ara","Arabica",IF(I109="Lib","Liberica",""))))</f>
        <v>Robusta</v>
      </c>
      <c r="O109" t="str">
        <f t="shared" si="3"/>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INDEX(products!$A$1:$G$49,MATCH($D110,products!$A$1:$A$49,0),MATCH(orders!I$1,products!$A$1:$G$1,0))</f>
        <v>Ara</v>
      </c>
      <c r="J110" t="str">
        <f>INDEX(products!$A$1:$G$49,MATCH($D110,products!$A$1:$A$49,0),MATCH(orders!J$1,products!$A$1:$G$1,0))</f>
        <v>M</v>
      </c>
      <c r="K110" s="4">
        <f>INDEX(products!$A$1:$G$49,MATCH($D110,products!$A$1:$A$49,0),MATCH(orders!K$1,products!$A$1:$G$1,0))</f>
        <v>0.5</v>
      </c>
      <c r="L110" s="5">
        <f>INDEX(products!$A$1:$G$49,MATCH($D110,products!$A$1:$A$49,0),MATCH(orders!L$1,products!$A$1:$G$1,0))</f>
        <v>6.75</v>
      </c>
      <c r="M110" s="5">
        <f t="shared" si="2"/>
        <v>27</v>
      </c>
      <c r="N110" t="str">
        <f>IF(I110="Rob","Robusta",IF(I110="Exc","Excelsa",IF(I110="Ara","Arabica",IF(I110="Lib","Liberica",""))))</f>
        <v>Arabica</v>
      </c>
      <c r="O110" t="str">
        <f t="shared" si="3"/>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INDEX(products!$A$1:$G$49,MATCH($D111,products!$A$1:$A$49,0),MATCH(orders!I$1,products!$A$1:$G$1,0))</f>
        <v>Lib</v>
      </c>
      <c r="J111" t="str">
        <f>INDEX(products!$A$1:$G$49,MATCH($D111,products!$A$1:$A$49,0),MATCH(orders!J$1,products!$A$1:$G$1,0))</f>
        <v>D</v>
      </c>
      <c r="K111" s="4">
        <f>INDEX(products!$A$1:$G$49,MATCH($D111,products!$A$1:$A$49,0),MATCH(orders!K$1,products!$A$1:$G$1,0))</f>
        <v>0.5</v>
      </c>
      <c r="L111" s="5">
        <f>INDEX(products!$A$1:$G$49,MATCH($D111,products!$A$1:$A$49,0),MATCH(orders!L$1,products!$A$1:$G$1,0))</f>
        <v>7.77</v>
      </c>
      <c r="M111" s="5">
        <f t="shared" si="2"/>
        <v>7.77</v>
      </c>
      <c r="N111" t="str">
        <f>IF(I111="Rob","Robusta",IF(I111="Exc","Excelsa",IF(I111="Ara","Arabica",IF(I111="Lib","Liberica",""))))</f>
        <v>Liberica</v>
      </c>
      <c r="O111" t="str">
        <f t="shared" si="3"/>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INDEX(products!$A$1:$G$49,MATCH($D112,products!$A$1:$A$49,0),MATCH(orders!I$1,products!$A$1:$G$1,0))</f>
        <v>Exc</v>
      </c>
      <c r="J112" t="str">
        <f>INDEX(products!$A$1:$G$49,MATCH($D112,products!$A$1:$A$49,0),MATCH(orders!J$1,products!$A$1:$G$1,0))</f>
        <v>L</v>
      </c>
      <c r="K112" s="4">
        <f>INDEX(products!$A$1:$G$49,MATCH($D112,products!$A$1:$A$49,0),MATCH(orders!K$1,products!$A$1:$G$1,0))</f>
        <v>0.2</v>
      </c>
      <c r="L112" s="5">
        <f>INDEX(products!$A$1:$G$49,MATCH($D112,products!$A$1:$A$49,0),MATCH(orders!L$1,products!$A$1:$G$1,0))</f>
        <v>4.4550000000000001</v>
      </c>
      <c r="M112" s="5">
        <f t="shared" si="2"/>
        <v>13.365</v>
      </c>
      <c r="N112" t="str">
        <f>IF(I112="Rob","Robusta",IF(I112="Exc","Excelsa",IF(I112="Ara","Arabica",IF(I112="Lib","Liberica",""))))</f>
        <v>Excelsa</v>
      </c>
      <c r="O112" t="str">
        <f t="shared" si="3"/>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INDEX(products!$A$1:$G$49,MATCH($D113,products!$A$1:$A$49,0),MATCH(orders!I$1,products!$A$1:$G$1,0))</f>
        <v>Rob</v>
      </c>
      <c r="J113" t="str">
        <f>INDEX(products!$A$1:$G$49,MATCH($D113,products!$A$1:$A$49,0),MATCH(orders!J$1,products!$A$1:$G$1,0))</f>
        <v>D</v>
      </c>
      <c r="K113" s="4">
        <f>INDEX(products!$A$1:$G$49,MATCH($D113,products!$A$1:$A$49,0),MATCH(orders!K$1,products!$A$1:$G$1,0))</f>
        <v>0.5</v>
      </c>
      <c r="L113" s="5">
        <f>INDEX(products!$A$1:$G$49,MATCH($D113,products!$A$1:$A$49,0),MATCH(orders!L$1,products!$A$1:$G$1,0))</f>
        <v>5.3699999999999992</v>
      </c>
      <c r="M113" s="5">
        <f t="shared" si="2"/>
        <v>26.849999999999994</v>
      </c>
      <c r="N113" t="str">
        <f>IF(I113="Rob","Robusta",IF(I113="Exc","Excelsa",IF(I113="Ara","Arabica",IF(I113="Lib","Liberica",""))))</f>
        <v>Robusta</v>
      </c>
      <c r="O113" t="str">
        <f t="shared" si="3"/>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INDEX(products!$A$1:$G$49,MATCH($D114,products!$A$1:$A$49,0),MATCH(orders!I$1,products!$A$1:$G$1,0))</f>
        <v>Ara</v>
      </c>
      <c r="J114" t="str">
        <f>INDEX(products!$A$1:$G$49,MATCH($D114,products!$A$1:$A$49,0),MATCH(orders!J$1,products!$A$1:$G$1,0))</f>
        <v>M</v>
      </c>
      <c r="K114" s="4">
        <f>INDEX(products!$A$1:$G$49,MATCH($D114,products!$A$1:$A$49,0),MATCH(orders!K$1,products!$A$1:$G$1,0))</f>
        <v>1</v>
      </c>
      <c r="L114" s="5">
        <f>INDEX(products!$A$1:$G$49,MATCH($D114,products!$A$1:$A$49,0),MATCH(orders!L$1,products!$A$1:$G$1,0))</f>
        <v>11.25</v>
      </c>
      <c r="M114" s="5">
        <f t="shared" si="2"/>
        <v>11.25</v>
      </c>
      <c r="N114" t="str">
        <f>IF(I114="Rob","Robusta",IF(I114="Exc","Excelsa",IF(I114="Ara","Arabica",IF(I114="Lib","Liberica",""))))</f>
        <v>Arabica</v>
      </c>
      <c r="O114" t="str">
        <f t="shared" si="3"/>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INDEX(products!$A$1:$G$49,MATCH($D115,products!$A$1:$A$49,0),MATCH(orders!I$1,products!$A$1:$G$1,0))</f>
        <v>Lib</v>
      </c>
      <c r="J115" t="str">
        <f>INDEX(products!$A$1:$G$49,MATCH($D115,products!$A$1:$A$49,0),MATCH(orders!J$1,products!$A$1:$G$1,0))</f>
        <v>M</v>
      </c>
      <c r="K115" s="4">
        <f>INDEX(products!$A$1:$G$49,MATCH($D115,products!$A$1:$A$49,0),MATCH(orders!K$1,products!$A$1:$G$1,0))</f>
        <v>1</v>
      </c>
      <c r="L115" s="5">
        <f>INDEX(products!$A$1:$G$49,MATCH($D115,products!$A$1:$A$49,0),MATCH(orders!L$1,products!$A$1:$G$1,0))</f>
        <v>14.55</v>
      </c>
      <c r="M115" s="5">
        <f t="shared" si="2"/>
        <v>14.55</v>
      </c>
      <c r="N115" t="str">
        <f>IF(I115="Rob","Robusta",IF(I115="Exc","Excelsa",IF(I115="Ara","Arabica",IF(I115="Lib","Liberica",""))))</f>
        <v>Liberica</v>
      </c>
      <c r="O115" t="str">
        <f t="shared" si="3"/>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INDEX(products!$A$1:$G$49,MATCH($D116,products!$A$1:$A$49,0),MATCH(orders!I$1,products!$A$1:$G$1,0))</f>
        <v>Rob</v>
      </c>
      <c r="J116" t="str">
        <f>INDEX(products!$A$1:$G$49,MATCH($D116,products!$A$1:$A$49,0),MATCH(orders!J$1,products!$A$1:$G$1,0))</f>
        <v>L</v>
      </c>
      <c r="K116" s="4">
        <f>INDEX(products!$A$1:$G$49,MATCH($D116,products!$A$1:$A$49,0),MATCH(orders!K$1,products!$A$1:$G$1,0))</f>
        <v>0.2</v>
      </c>
      <c r="L116" s="5">
        <f>INDEX(products!$A$1:$G$49,MATCH($D116,products!$A$1:$A$49,0),MATCH(orders!L$1,products!$A$1:$G$1,0))</f>
        <v>3.5849999999999995</v>
      </c>
      <c r="M116" s="5">
        <f t="shared" si="2"/>
        <v>14.339999999999998</v>
      </c>
      <c r="N116" t="str">
        <f>IF(I116="Rob","Robusta",IF(I116="Exc","Excelsa",IF(I116="Ara","Arabica",IF(I116="Lib","Liberica",""))))</f>
        <v>Robusta</v>
      </c>
      <c r="O116" t="str">
        <f t="shared" si="3"/>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INDEX(products!$A$1:$G$49,MATCH($D117,products!$A$1:$A$49,0),MATCH(orders!I$1,products!$A$1:$G$1,0))</f>
        <v>Lib</v>
      </c>
      <c r="J117" t="str">
        <f>INDEX(products!$A$1:$G$49,MATCH($D117,products!$A$1:$A$49,0),MATCH(orders!J$1,products!$A$1:$G$1,0))</f>
        <v>L</v>
      </c>
      <c r="K117" s="4">
        <f>INDEX(products!$A$1:$G$49,MATCH($D117,products!$A$1:$A$49,0),MATCH(orders!K$1,products!$A$1:$G$1,0))</f>
        <v>1</v>
      </c>
      <c r="L117" s="5">
        <f>INDEX(products!$A$1:$G$49,MATCH($D117,products!$A$1:$A$49,0),MATCH(orders!L$1,products!$A$1:$G$1,0))</f>
        <v>15.85</v>
      </c>
      <c r="M117" s="5">
        <f t="shared" si="2"/>
        <v>15.85</v>
      </c>
      <c r="N117" t="str">
        <f>IF(I117="Rob","Robusta",IF(I117="Exc","Excelsa",IF(I117="Ara","Arabica",IF(I117="Lib","Liberica",""))))</f>
        <v>Liberica</v>
      </c>
      <c r="O117" t="str">
        <f t="shared" si="3"/>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INDEX(products!$A$1:$G$49,MATCH($D118,products!$A$1:$A$49,0),MATCH(orders!I$1,products!$A$1:$G$1,0))</f>
        <v>Lib</v>
      </c>
      <c r="J118" t="str">
        <f>INDEX(products!$A$1:$G$49,MATCH($D118,products!$A$1:$A$49,0),MATCH(orders!J$1,products!$A$1:$G$1,0))</f>
        <v>L</v>
      </c>
      <c r="K118" s="4">
        <f>INDEX(products!$A$1:$G$49,MATCH($D118,products!$A$1:$A$49,0),MATCH(orders!K$1,products!$A$1:$G$1,0))</f>
        <v>0.2</v>
      </c>
      <c r="L118" s="5">
        <f>INDEX(products!$A$1:$G$49,MATCH($D118,products!$A$1:$A$49,0),MATCH(orders!L$1,products!$A$1:$G$1,0))</f>
        <v>4.7549999999999999</v>
      </c>
      <c r="M118" s="5">
        <f t="shared" si="2"/>
        <v>19.02</v>
      </c>
      <c r="N118" t="str">
        <f>IF(I118="Rob","Robusta",IF(I118="Exc","Excelsa",IF(I118="Ara","Arabica",IF(I118="Lib","Liberica",""))))</f>
        <v>Liberica</v>
      </c>
      <c r="O118" t="str">
        <f t="shared" si="3"/>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INDEX(products!$A$1:$G$49,MATCH($D119,products!$A$1:$A$49,0),MATCH(orders!I$1,products!$A$1:$G$1,0))</f>
        <v>Lib</v>
      </c>
      <c r="J119" t="str">
        <f>INDEX(products!$A$1:$G$49,MATCH($D119,products!$A$1:$A$49,0),MATCH(orders!J$1,products!$A$1:$G$1,0))</f>
        <v>L</v>
      </c>
      <c r="K119" s="4">
        <f>INDEX(products!$A$1:$G$49,MATCH($D119,products!$A$1:$A$49,0),MATCH(orders!K$1,products!$A$1:$G$1,0))</f>
        <v>0.5</v>
      </c>
      <c r="L119" s="5">
        <f>INDEX(products!$A$1:$G$49,MATCH($D119,products!$A$1:$A$49,0),MATCH(orders!L$1,products!$A$1:$G$1,0))</f>
        <v>9.51</v>
      </c>
      <c r="M119" s="5">
        <f t="shared" si="2"/>
        <v>38.04</v>
      </c>
      <c r="N119" t="str">
        <f>IF(I119="Rob","Robusta",IF(I119="Exc","Excelsa",IF(I119="Ara","Arabica",IF(I119="Lib","Liberica",""))))</f>
        <v>Liberica</v>
      </c>
      <c r="O119" t="str">
        <f t="shared" si="3"/>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INDEX(products!$A$1:$G$49,MATCH($D120,products!$A$1:$A$49,0),MATCH(orders!I$1,products!$A$1:$G$1,0))</f>
        <v>Exc</v>
      </c>
      <c r="J120" t="str">
        <f>INDEX(products!$A$1:$G$49,MATCH($D120,products!$A$1:$A$49,0),MATCH(orders!J$1,products!$A$1:$G$1,0))</f>
        <v>D</v>
      </c>
      <c r="K120" s="4">
        <f>INDEX(products!$A$1:$G$49,MATCH($D120,products!$A$1:$A$49,0),MATCH(orders!K$1,products!$A$1:$G$1,0))</f>
        <v>0.5</v>
      </c>
      <c r="L120" s="5">
        <f>INDEX(products!$A$1:$G$49,MATCH($D120,products!$A$1:$A$49,0),MATCH(orders!L$1,products!$A$1:$G$1,0))</f>
        <v>7.29</v>
      </c>
      <c r="M120" s="5">
        <f t="shared" si="2"/>
        <v>21.87</v>
      </c>
      <c r="N120" t="str">
        <f>IF(I120="Rob","Robusta",IF(I120="Exc","Excelsa",IF(I120="Ara","Arabica",IF(I120="Lib","Liberica",""))))</f>
        <v>Excelsa</v>
      </c>
      <c r="O120" t="str">
        <f t="shared" si="3"/>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INDEX(products!$A$1:$G$49,MATCH($D121,products!$A$1:$A$49,0),MATCH(orders!I$1,products!$A$1:$G$1,0))</f>
        <v>Exc</v>
      </c>
      <c r="J121" t="str">
        <f>INDEX(products!$A$1:$G$49,MATCH($D121,products!$A$1:$A$49,0),MATCH(orders!J$1,products!$A$1:$G$1,0))</f>
        <v>M</v>
      </c>
      <c r="K121" s="4">
        <f>INDEX(products!$A$1:$G$49,MATCH($D121,products!$A$1:$A$49,0),MATCH(orders!K$1,products!$A$1:$G$1,0))</f>
        <v>0.2</v>
      </c>
      <c r="L121" s="5">
        <f>INDEX(products!$A$1:$G$49,MATCH($D121,products!$A$1:$A$49,0),MATCH(orders!L$1,products!$A$1:$G$1,0))</f>
        <v>4.125</v>
      </c>
      <c r="M121" s="5">
        <f t="shared" si="2"/>
        <v>4.125</v>
      </c>
      <c r="N121" t="str">
        <f>IF(I121="Rob","Robusta",IF(I121="Exc","Excelsa",IF(I121="Ara","Arabica",IF(I121="Lib","Liberica",""))))</f>
        <v>Excelsa</v>
      </c>
      <c r="O121" t="str">
        <f t="shared" si="3"/>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INDEX(products!$A$1:$G$49,MATCH($D122,products!$A$1:$A$49,0),MATCH(orders!I$1,products!$A$1:$G$1,0))</f>
        <v>Ara</v>
      </c>
      <c r="J122" t="str">
        <f>INDEX(products!$A$1:$G$49,MATCH($D122,products!$A$1:$A$49,0),MATCH(orders!J$1,products!$A$1:$G$1,0))</f>
        <v>L</v>
      </c>
      <c r="K122" s="4">
        <f>INDEX(products!$A$1:$G$49,MATCH($D122,products!$A$1:$A$49,0),MATCH(orders!K$1,products!$A$1:$G$1,0))</f>
        <v>0.2</v>
      </c>
      <c r="L122" s="5">
        <f>INDEX(products!$A$1:$G$49,MATCH($D122,products!$A$1:$A$49,0),MATCH(orders!L$1,products!$A$1:$G$1,0))</f>
        <v>3.8849999999999998</v>
      </c>
      <c r="M122" s="5">
        <f t="shared" si="2"/>
        <v>3.8849999999999998</v>
      </c>
      <c r="N122" t="str">
        <f>IF(I122="Rob","Robusta",IF(I122="Exc","Excelsa",IF(I122="Ara","Arabica",IF(I122="Lib","Liberica",""))))</f>
        <v>Arabica</v>
      </c>
      <c r="O122" t="str">
        <f t="shared" si="3"/>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INDEX(products!$A$1:$G$49,MATCH($D123,products!$A$1:$A$49,0),MATCH(orders!I$1,products!$A$1:$G$1,0))</f>
        <v>Exc</v>
      </c>
      <c r="J123" t="str">
        <f>INDEX(products!$A$1:$G$49,MATCH($D123,products!$A$1:$A$49,0),MATCH(orders!J$1,products!$A$1:$G$1,0))</f>
        <v>M</v>
      </c>
      <c r="K123" s="4">
        <f>INDEX(products!$A$1:$G$49,MATCH($D123,products!$A$1:$A$49,0),MATCH(orders!K$1,products!$A$1:$G$1,0))</f>
        <v>1</v>
      </c>
      <c r="L123" s="5">
        <f>INDEX(products!$A$1:$G$49,MATCH($D123,products!$A$1:$A$49,0),MATCH(orders!L$1,products!$A$1:$G$1,0))</f>
        <v>13.75</v>
      </c>
      <c r="M123" s="5">
        <f t="shared" si="2"/>
        <v>68.75</v>
      </c>
      <c r="N123" t="str">
        <f>IF(I123="Rob","Robusta",IF(I123="Exc","Excelsa",IF(I123="Ara","Arabica",IF(I123="Lib","Liberica",""))))</f>
        <v>Excelsa</v>
      </c>
      <c r="O123" t="str">
        <f t="shared" si="3"/>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INDEX(products!$A$1:$G$49,MATCH($D124,products!$A$1:$A$49,0),MATCH(orders!I$1,products!$A$1:$G$1,0))</f>
        <v>Ara</v>
      </c>
      <c r="J124" t="str">
        <f>INDEX(products!$A$1:$G$49,MATCH($D124,products!$A$1:$A$49,0),MATCH(orders!J$1,products!$A$1:$G$1,0))</f>
        <v>D</v>
      </c>
      <c r="K124" s="4">
        <f>INDEX(products!$A$1:$G$49,MATCH($D124,products!$A$1:$A$49,0),MATCH(orders!K$1,products!$A$1:$G$1,0))</f>
        <v>0.5</v>
      </c>
      <c r="L124" s="5">
        <f>INDEX(products!$A$1:$G$49,MATCH($D124,products!$A$1:$A$49,0),MATCH(orders!L$1,products!$A$1:$G$1,0))</f>
        <v>5.97</v>
      </c>
      <c r="M124" s="5">
        <f t="shared" si="2"/>
        <v>23.88</v>
      </c>
      <c r="N124" t="str">
        <f>IF(I124="Rob","Robusta",IF(I124="Exc","Excelsa",IF(I124="Ara","Arabica",IF(I124="Lib","Liberica",""))))</f>
        <v>Arabica</v>
      </c>
      <c r="O124" t="str">
        <f t="shared" si="3"/>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INDEX(products!$A$1:$G$49,MATCH($D125,products!$A$1:$A$49,0),MATCH(orders!I$1,products!$A$1:$G$1,0))</f>
        <v>Lib</v>
      </c>
      <c r="J125" t="str">
        <f>INDEX(products!$A$1:$G$49,MATCH($D125,products!$A$1:$A$49,0),MATCH(orders!J$1,products!$A$1:$G$1,0))</f>
        <v>L</v>
      </c>
      <c r="K125" s="4">
        <f>INDEX(products!$A$1:$G$49,MATCH($D125,products!$A$1:$A$49,0),MATCH(orders!K$1,products!$A$1:$G$1,0))</f>
        <v>2.5</v>
      </c>
      <c r="L125" s="5">
        <f>INDEX(products!$A$1:$G$49,MATCH($D125,products!$A$1:$A$49,0),MATCH(orders!L$1,products!$A$1:$G$1,0))</f>
        <v>36.454999999999998</v>
      </c>
      <c r="M125" s="5">
        <f t="shared" si="2"/>
        <v>145.82</v>
      </c>
      <c r="N125" t="str">
        <f>IF(I125="Rob","Robusta",IF(I125="Exc","Excelsa",IF(I125="Ara","Arabica",IF(I125="Lib","Liberica",""))))</f>
        <v>Liberica</v>
      </c>
      <c r="O125" t="str">
        <f t="shared" si="3"/>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INDEX(products!$A$1:$G$49,MATCH($D126,products!$A$1:$A$49,0),MATCH(orders!I$1,products!$A$1:$G$1,0))</f>
        <v>Lib</v>
      </c>
      <c r="J126" t="str">
        <f>INDEX(products!$A$1:$G$49,MATCH($D126,products!$A$1:$A$49,0),MATCH(orders!J$1,products!$A$1:$G$1,0))</f>
        <v>M</v>
      </c>
      <c r="K126" s="4">
        <f>INDEX(products!$A$1:$G$49,MATCH($D126,products!$A$1:$A$49,0),MATCH(orders!K$1,products!$A$1:$G$1,0))</f>
        <v>0.2</v>
      </c>
      <c r="L126" s="5">
        <f>INDEX(products!$A$1:$G$49,MATCH($D126,products!$A$1:$A$49,0),MATCH(orders!L$1,products!$A$1:$G$1,0))</f>
        <v>4.3650000000000002</v>
      </c>
      <c r="M126" s="5">
        <f t="shared" si="2"/>
        <v>21.825000000000003</v>
      </c>
      <c r="N126" t="str">
        <f>IF(I126="Rob","Robusta",IF(I126="Exc","Excelsa",IF(I126="Ara","Arabica",IF(I126="Lib","Liberica",""))))</f>
        <v>Liberica</v>
      </c>
      <c r="O126" t="str">
        <f t="shared" si="3"/>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INDEX(products!$A$1:$G$49,MATCH($D127,products!$A$1:$A$49,0),MATCH(orders!I$1,products!$A$1:$G$1,0))</f>
        <v>Lib</v>
      </c>
      <c r="J127" t="str">
        <f>INDEX(products!$A$1:$G$49,MATCH($D127,products!$A$1:$A$49,0),MATCH(orders!J$1,products!$A$1:$G$1,0))</f>
        <v>M</v>
      </c>
      <c r="K127" s="4">
        <f>INDEX(products!$A$1:$G$49,MATCH($D127,products!$A$1:$A$49,0),MATCH(orders!K$1,products!$A$1:$G$1,0))</f>
        <v>0.5</v>
      </c>
      <c r="L127" s="5">
        <f>INDEX(products!$A$1:$G$49,MATCH($D127,products!$A$1:$A$49,0),MATCH(orders!L$1,products!$A$1:$G$1,0))</f>
        <v>8.73</v>
      </c>
      <c r="M127" s="5">
        <f t="shared" si="2"/>
        <v>26.19</v>
      </c>
      <c r="N127" t="str">
        <f>IF(I127="Rob","Robusta",IF(I127="Exc","Excelsa",IF(I127="Ara","Arabica",IF(I127="Lib","Liberica",""))))</f>
        <v>Liberica</v>
      </c>
      <c r="O127" t="str">
        <f t="shared" si="3"/>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INDEX(products!$A$1:$G$49,MATCH($D128,products!$A$1:$A$49,0),MATCH(orders!I$1,products!$A$1:$G$1,0))</f>
        <v>Ara</v>
      </c>
      <c r="J128" t="str">
        <f>INDEX(products!$A$1:$G$49,MATCH($D128,products!$A$1:$A$49,0),MATCH(orders!J$1,products!$A$1:$G$1,0))</f>
        <v>M</v>
      </c>
      <c r="K128" s="4">
        <f>INDEX(products!$A$1:$G$49,MATCH($D128,products!$A$1:$A$49,0),MATCH(orders!K$1,products!$A$1:$G$1,0))</f>
        <v>1</v>
      </c>
      <c r="L128" s="5">
        <f>INDEX(products!$A$1:$G$49,MATCH($D128,products!$A$1:$A$49,0),MATCH(orders!L$1,products!$A$1:$G$1,0))</f>
        <v>11.25</v>
      </c>
      <c r="M128" s="5">
        <f t="shared" si="2"/>
        <v>11.25</v>
      </c>
      <c r="N128" t="str">
        <f>IF(I128="Rob","Robusta",IF(I128="Exc","Excelsa",IF(I128="Ara","Arabica",IF(I128="Lib","Liberica",""))))</f>
        <v>Arabica</v>
      </c>
      <c r="O128" t="str">
        <f t="shared" si="3"/>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INDEX(products!$A$1:$G$49,MATCH($D129,products!$A$1:$A$49,0),MATCH(orders!I$1,products!$A$1:$G$1,0))</f>
        <v>Lib</v>
      </c>
      <c r="J129" t="str">
        <f>INDEX(products!$A$1:$G$49,MATCH($D129,products!$A$1:$A$49,0),MATCH(orders!J$1,products!$A$1:$G$1,0))</f>
        <v>D</v>
      </c>
      <c r="K129" s="4">
        <f>INDEX(products!$A$1:$G$49,MATCH($D129,products!$A$1:$A$49,0),MATCH(orders!K$1,products!$A$1:$G$1,0))</f>
        <v>1</v>
      </c>
      <c r="L129" s="5">
        <f>INDEX(products!$A$1:$G$49,MATCH($D129,products!$A$1:$A$49,0),MATCH(orders!L$1,products!$A$1:$G$1,0))</f>
        <v>12.95</v>
      </c>
      <c r="M129" s="5">
        <f t="shared" si="2"/>
        <v>77.699999999999989</v>
      </c>
      <c r="N129" t="str">
        <f>IF(I129="Rob","Robusta",IF(I129="Exc","Excelsa",IF(I129="Ara","Arabica",IF(I129="Lib","Liberica",""))))</f>
        <v>Liberica</v>
      </c>
      <c r="O129" t="str">
        <f t="shared" si="3"/>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INDEX(products!$A$1:$G$49,MATCH($D130,products!$A$1:$A$49,0),MATCH(orders!I$1,products!$A$1:$G$1,0))</f>
        <v>Ara</v>
      </c>
      <c r="J130" t="str">
        <f>INDEX(products!$A$1:$G$49,MATCH($D130,products!$A$1:$A$49,0),MATCH(orders!J$1,products!$A$1:$G$1,0))</f>
        <v>M</v>
      </c>
      <c r="K130" s="4">
        <f>INDEX(products!$A$1:$G$49,MATCH($D130,products!$A$1:$A$49,0),MATCH(orders!K$1,products!$A$1:$G$1,0))</f>
        <v>0.5</v>
      </c>
      <c r="L130" s="5">
        <f>INDEX(products!$A$1:$G$49,MATCH($D130,products!$A$1:$A$49,0),MATCH(orders!L$1,products!$A$1:$G$1,0))</f>
        <v>6.75</v>
      </c>
      <c r="M130" s="5">
        <f t="shared" si="2"/>
        <v>6.75</v>
      </c>
      <c r="N130" t="str">
        <f>IF(I130="Rob","Robusta",IF(I130="Exc","Excelsa",IF(I130="Ara","Arabica",IF(I130="Lib","Liberica",""))))</f>
        <v>Arabica</v>
      </c>
      <c r="O130" t="str">
        <f t="shared" si="3"/>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INDEX(products!$A$1:$G$49,MATCH($D131,products!$A$1:$A$49,0),MATCH(orders!I$1,products!$A$1:$G$1,0))</f>
        <v>Exc</v>
      </c>
      <c r="J131" t="str">
        <f>INDEX(products!$A$1:$G$49,MATCH($D131,products!$A$1:$A$49,0),MATCH(orders!J$1,products!$A$1:$G$1,0))</f>
        <v>D</v>
      </c>
      <c r="K131" s="4">
        <f>INDEX(products!$A$1:$G$49,MATCH($D131,products!$A$1:$A$49,0),MATCH(orders!K$1,products!$A$1:$G$1,0))</f>
        <v>1</v>
      </c>
      <c r="L131" s="5">
        <f>INDEX(products!$A$1:$G$49,MATCH($D131,products!$A$1:$A$49,0),MATCH(orders!L$1,products!$A$1:$G$1,0))</f>
        <v>12.15</v>
      </c>
      <c r="M131" s="5">
        <f t="shared" ref="M131:M194" si="4">L131*E131</f>
        <v>12.15</v>
      </c>
      <c r="N131" t="str">
        <f>IF(I131="Rob","Robusta",IF(I131="Exc","Excelsa",IF(I131="Ara","Arabica",IF(I131="Lib","Liberica",""))))</f>
        <v>Excelsa</v>
      </c>
      <c r="O131" t="str">
        <f t="shared" ref="O131:O194" si="5">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INDEX(products!$A$1:$G$49,MATCH($D132,products!$A$1:$A$49,0),MATCH(orders!I$1,products!$A$1:$G$1,0))</f>
        <v>Ara</v>
      </c>
      <c r="J132" t="str">
        <f>INDEX(products!$A$1:$G$49,MATCH($D132,products!$A$1:$A$49,0),MATCH(orders!J$1,products!$A$1:$G$1,0))</f>
        <v>L</v>
      </c>
      <c r="K132" s="4">
        <f>INDEX(products!$A$1:$G$49,MATCH($D132,products!$A$1:$A$49,0),MATCH(orders!K$1,products!$A$1:$G$1,0))</f>
        <v>2.5</v>
      </c>
      <c r="L132" s="5">
        <f>INDEX(products!$A$1:$G$49,MATCH($D132,products!$A$1:$A$49,0),MATCH(orders!L$1,products!$A$1:$G$1,0))</f>
        <v>29.784999999999997</v>
      </c>
      <c r="M132" s="5">
        <f t="shared" si="4"/>
        <v>148.92499999999998</v>
      </c>
      <c r="N132" t="str">
        <f>IF(I132="Rob","Robusta",IF(I132="Exc","Excelsa",IF(I132="Ara","Arabica",IF(I132="Lib","Liberica",""))))</f>
        <v>Arabica</v>
      </c>
      <c r="O132" t="str">
        <f t="shared" si="5"/>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INDEX(products!$A$1:$G$49,MATCH($D133,products!$A$1:$A$49,0),MATCH(orders!I$1,products!$A$1:$G$1,0))</f>
        <v>Exc</v>
      </c>
      <c r="J133" t="str">
        <f>INDEX(products!$A$1:$G$49,MATCH($D133,products!$A$1:$A$49,0),MATCH(orders!J$1,products!$A$1:$G$1,0))</f>
        <v>D</v>
      </c>
      <c r="K133" s="4">
        <f>INDEX(products!$A$1:$G$49,MATCH($D133,products!$A$1:$A$49,0),MATCH(orders!K$1,products!$A$1:$G$1,0))</f>
        <v>0.5</v>
      </c>
      <c r="L133" s="5">
        <f>INDEX(products!$A$1:$G$49,MATCH($D133,products!$A$1:$A$49,0),MATCH(orders!L$1,products!$A$1:$G$1,0))</f>
        <v>7.29</v>
      </c>
      <c r="M133" s="5">
        <f t="shared" si="4"/>
        <v>14.58</v>
      </c>
      <c r="N133" t="str">
        <f>IF(I133="Rob","Robusta",IF(I133="Exc","Excelsa",IF(I133="Ara","Arabica",IF(I133="Lib","Liberica",""))))</f>
        <v>Excelsa</v>
      </c>
      <c r="O133" t="str">
        <f t="shared" si="5"/>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INDEX(products!$A$1:$G$49,MATCH($D134,products!$A$1:$A$49,0),MATCH(orders!I$1,products!$A$1:$G$1,0))</f>
        <v>Ara</v>
      </c>
      <c r="J134" t="str">
        <f>INDEX(products!$A$1:$G$49,MATCH($D134,products!$A$1:$A$49,0),MATCH(orders!J$1,products!$A$1:$G$1,0))</f>
        <v>L</v>
      </c>
      <c r="K134" s="4">
        <f>INDEX(products!$A$1:$G$49,MATCH($D134,products!$A$1:$A$49,0),MATCH(orders!K$1,products!$A$1:$G$1,0))</f>
        <v>2.5</v>
      </c>
      <c r="L134" s="5">
        <f>INDEX(products!$A$1:$G$49,MATCH($D134,products!$A$1:$A$49,0),MATCH(orders!L$1,products!$A$1:$G$1,0))</f>
        <v>29.784999999999997</v>
      </c>
      <c r="M134" s="5">
        <f t="shared" si="4"/>
        <v>148.92499999999998</v>
      </c>
      <c r="N134" t="str">
        <f>IF(I134="Rob","Robusta",IF(I134="Exc","Excelsa",IF(I134="Ara","Arabica",IF(I134="Lib","Liberica",""))))</f>
        <v>Arabica</v>
      </c>
      <c r="O134" t="str">
        <f t="shared" si="5"/>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INDEX(products!$A$1:$G$49,MATCH($D135,products!$A$1:$A$49,0),MATCH(orders!I$1,products!$A$1:$G$1,0))</f>
        <v>Lib</v>
      </c>
      <c r="J135" t="str">
        <f>INDEX(products!$A$1:$G$49,MATCH($D135,products!$A$1:$A$49,0),MATCH(orders!J$1,products!$A$1:$G$1,0))</f>
        <v>D</v>
      </c>
      <c r="K135" s="4">
        <f>INDEX(products!$A$1:$G$49,MATCH($D135,products!$A$1:$A$49,0),MATCH(orders!K$1,products!$A$1:$G$1,0))</f>
        <v>1</v>
      </c>
      <c r="L135" s="5">
        <f>INDEX(products!$A$1:$G$49,MATCH($D135,products!$A$1:$A$49,0),MATCH(orders!L$1,products!$A$1:$G$1,0))</f>
        <v>12.95</v>
      </c>
      <c r="M135" s="5">
        <f t="shared" si="4"/>
        <v>12.95</v>
      </c>
      <c r="N135" t="str">
        <f>IF(I135="Rob","Robusta",IF(I135="Exc","Excelsa",IF(I135="Ara","Arabica",IF(I135="Lib","Liberica",""))))</f>
        <v>Liberica</v>
      </c>
      <c r="O135" t="str">
        <f t="shared" si="5"/>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INDEX(products!$A$1:$G$49,MATCH($D136,products!$A$1:$A$49,0),MATCH(orders!I$1,products!$A$1:$G$1,0))</f>
        <v>Exc</v>
      </c>
      <c r="J136" t="str">
        <f>INDEX(products!$A$1:$G$49,MATCH($D136,products!$A$1:$A$49,0),MATCH(orders!J$1,products!$A$1:$G$1,0))</f>
        <v>M</v>
      </c>
      <c r="K136" s="4">
        <f>INDEX(products!$A$1:$G$49,MATCH($D136,products!$A$1:$A$49,0),MATCH(orders!K$1,products!$A$1:$G$1,0))</f>
        <v>2.5</v>
      </c>
      <c r="L136" s="5">
        <f>INDEX(products!$A$1:$G$49,MATCH($D136,products!$A$1:$A$49,0),MATCH(orders!L$1,products!$A$1:$G$1,0))</f>
        <v>31.624999999999996</v>
      </c>
      <c r="M136" s="5">
        <f t="shared" si="4"/>
        <v>94.874999999999986</v>
      </c>
      <c r="N136" t="str">
        <f>IF(I136="Rob","Robusta",IF(I136="Exc","Excelsa",IF(I136="Ara","Arabica",IF(I136="Lib","Liberica",""))))</f>
        <v>Excelsa</v>
      </c>
      <c r="O136" t="str">
        <f t="shared" si="5"/>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INDEX(products!$A$1:$G$49,MATCH($D137,products!$A$1:$A$49,0),MATCH(orders!I$1,products!$A$1:$G$1,0))</f>
        <v>Ara</v>
      </c>
      <c r="J137" t="str">
        <f>INDEX(products!$A$1:$G$49,MATCH($D137,products!$A$1:$A$49,0),MATCH(orders!J$1,products!$A$1:$G$1,0))</f>
        <v>L</v>
      </c>
      <c r="K137" s="4">
        <f>INDEX(products!$A$1:$G$49,MATCH($D137,products!$A$1:$A$49,0),MATCH(orders!K$1,products!$A$1:$G$1,0))</f>
        <v>0.5</v>
      </c>
      <c r="L137" s="5">
        <f>INDEX(products!$A$1:$G$49,MATCH($D137,products!$A$1:$A$49,0),MATCH(orders!L$1,products!$A$1:$G$1,0))</f>
        <v>7.77</v>
      </c>
      <c r="M137" s="5">
        <f t="shared" si="4"/>
        <v>38.849999999999994</v>
      </c>
      <c r="N137" t="str">
        <f>IF(I137="Rob","Robusta",IF(I137="Exc","Excelsa",IF(I137="Ara","Arabica",IF(I137="Lib","Liberica",""))))</f>
        <v>Arabica</v>
      </c>
      <c r="O137" t="str">
        <f t="shared" si="5"/>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INDEX(products!$A$1:$G$49,MATCH($D138,products!$A$1:$A$49,0),MATCH(orders!I$1,products!$A$1:$G$1,0))</f>
        <v>Ara</v>
      </c>
      <c r="J138" t="str">
        <f>INDEX(products!$A$1:$G$49,MATCH($D138,products!$A$1:$A$49,0),MATCH(orders!J$1,products!$A$1:$G$1,0))</f>
        <v>D</v>
      </c>
      <c r="K138" s="4">
        <f>INDEX(products!$A$1:$G$49,MATCH($D138,products!$A$1:$A$49,0),MATCH(orders!K$1,products!$A$1:$G$1,0))</f>
        <v>0.2</v>
      </c>
      <c r="L138" s="5">
        <f>INDEX(products!$A$1:$G$49,MATCH($D138,products!$A$1:$A$49,0),MATCH(orders!L$1,products!$A$1:$G$1,0))</f>
        <v>2.9849999999999999</v>
      </c>
      <c r="M138" s="5">
        <f t="shared" si="4"/>
        <v>11.94</v>
      </c>
      <c r="N138" t="str">
        <f>IF(I138="Rob","Robusta",IF(I138="Exc","Excelsa",IF(I138="Ara","Arabica",IF(I138="Lib","Liberica",""))))</f>
        <v>Arabica</v>
      </c>
      <c r="O138" t="str">
        <f t="shared" si="5"/>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INDEX(products!$A$1:$G$49,MATCH($D139,products!$A$1:$A$49,0),MATCH(orders!I$1,products!$A$1:$G$1,0))</f>
        <v>Exc</v>
      </c>
      <c r="J139" t="str">
        <f>INDEX(products!$A$1:$G$49,MATCH($D139,products!$A$1:$A$49,0),MATCH(orders!J$1,products!$A$1:$G$1,0))</f>
        <v>L</v>
      </c>
      <c r="K139" s="4">
        <f>INDEX(products!$A$1:$G$49,MATCH($D139,products!$A$1:$A$49,0),MATCH(orders!K$1,products!$A$1:$G$1,0))</f>
        <v>2.5</v>
      </c>
      <c r="L139" s="5">
        <f>INDEX(products!$A$1:$G$49,MATCH($D139,products!$A$1:$A$49,0),MATCH(orders!L$1,products!$A$1:$G$1,0))</f>
        <v>34.154999999999994</v>
      </c>
      <c r="M139" s="5">
        <f t="shared" si="4"/>
        <v>102.46499999999997</v>
      </c>
      <c r="N139" t="str">
        <f>IF(I139="Rob","Robusta",IF(I139="Exc","Excelsa",IF(I139="Ara","Arabica",IF(I139="Lib","Liberica",""))))</f>
        <v>Excelsa</v>
      </c>
      <c r="O139" t="str">
        <f t="shared" si="5"/>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INDEX(products!$A$1:$G$49,MATCH($D140,products!$A$1:$A$49,0),MATCH(orders!I$1,products!$A$1:$G$1,0))</f>
        <v>Exc</v>
      </c>
      <c r="J140" t="str">
        <f>INDEX(products!$A$1:$G$49,MATCH($D140,products!$A$1:$A$49,0),MATCH(orders!J$1,products!$A$1:$G$1,0))</f>
        <v>D</v>
      </c>
      <c r="K140" s="4">
        <f>INDEX(products!$A$1:$G$49,MATCH($D140,products!$A$1:$A$49,0),MATCH(orders!K$1,products!$A$1:$G$1,0))</f>
        <v>1</v>
      </c>
      <c r="L140" s="5">
        <f>INDEX(products!$A$1:$G$49,MATCH($D140,products!$A$1:$A$49,0),MATCH(orders!L$1,products!$A$1:$G$1,0))</f>
        <v>12.15</v>
      </c>
      <c r="M140" s="5">
        <f t="shared" si="4"/>
        <v>48.6</v>
      </c>
      <c r="N140" t="str">
        <f>IF(I140="Rob","Robusta",IF(I140="Exc","Excelsa",IF(I140="Ara","Arabica",IF(I140="Lib","Liberica",""))))</f>
        <v>Excelsa</v>
      </c>
      <c r="O140" t="str">
        <f t="shared" si="5"/>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INDEX(products!$A$1:$G$49,MATCH($D141,products!$A$1:$A$49,0),MATCH(orders!I$1,products!$A$1:$G$1,0))</f>
        <v>Lib</v>
      </c>
      <c r="J141" t="str">
        <f>INDEX(products!$A$1:$G$49,MATCH($D141,products!$A$1:$A$49,0),MATCH(orders!J$1,products!$A$1:$G$1,0))</f>
        <v>D</v>
      </c>
      <c r="K141" s="4">
        <f>INDEX(products!$A$1:$G$49,MATCH($D141,products!$A$1:$A$49,0),MATCH(orders!K$1,products!$A$1:$G$1,0))</f>
        <v>1</v>
      </c>
      <c r="L141" s="5">
        <f>INDEX(products!$A$1:$G$49,MATCH($D141,products!$A$1:$A$49,0),MATCH(orders!L$1,products!$A$1:$G$1,0))</f>
        <v>12.95</v>
      </c>
      <c r="M141" s="5">
        <f t="shared" si="4"/>
        <v>77.699999999999989</v>
      </c>
      <c r="N141" t="str">
        <f>IF(I141="Rob","Robusta",IF(I141="Exc","Excelsa",IF(I141="Ara","Arabica",IF(I141="Lib","Liberica",""))))</f>
        <v>Liberica</v>
      </c>
      <c r="O141" t="str">
        <f t="shared" si="5"/>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INDEX(products!$A$1:$G$49,MATCH($D142,products!$A$1:$A$49,0),MATCH(orders!I$1,products!$A$1:$G$1,0))</f>
        <v>Lib</v>
      </c>
      <c r="J142" t="str">
        <f>INDEX(products!$A$1:$G$49,MATCH($D142,products!$A$1:$A$49,0),MATCH(orders!J$1,products!$A$1:$G$1,0))</f>
        <v>D</v>
      </c>
      <c r="K142" s="4">
        <f>INDEX(products!$A$1:$G$49,MATCH($D142,products!$A$1:$A$49,0),MATCH(orders!K$1,products!$A$1:$G$1,0))</f>
        <v>2.5</v>
      </c>
      <c r="L142" s="5">
        <f>INDEX(products!$A$1:$G$49,MATCH($D142,products!$A$1:$A$49,0),MATCH(orders!L$1,products!$A$1:$G$1,0))</f>
        <v>29.784999999999997</v>
      </c>
      <c r="M142" s="5">
        <f t="shared" si="4"/>
        <v>29.784999999999997</v>
      </c>
      <c r="N142" t="str">
        <f>IF(I142="Rob","Robusta",IF(I142="Exc","Excelsa",IF(I142="Ara","Arabica",IF(I142="Lib","Liberica",""))))</f>
        <v>Liberica</v>
      </c>
      <c r="O142" t="str">
        <f t="shared" si="5"/>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INDEX(products!$A$1:$G$49,MATCH($D143,products!$A$1:$A$49,0),MATCH(orders!I$1,products!$A$1:$G$1,0))</f>
        <v>Ara</v>
      </c>
      <c r="J143" t="str">
        <f>INDEX(products!$A$1:$G$49,MATCH($D143,products!$A$1:$A$49,0),MATCH(orders!J$1,products!$A$1:$G$1,0))</f>
        <v>L</v>
      </c>
      <c r="K143" s="4">
        <f>INDEX(products!$A$1:$G$49,MATCH($D143,products!$A$1:$A$49,0),MATCH(orders!K$1,products!$A$1:$G$1,0))</f>
        <v>0.2</v>
      </c>
      <c r="L143" s="5">
        <f>INDEX(products!$A$1:$G$49,MATCH($D143,products!$A$1:$A$49,0),MATCH(orders!L$1,products!$A$1:$G$1,0))</f>
        <v>3.8849999999999998</v>
      </c>
      <c r="M143" s="5">
        <f t="shared" si="4"/>
        <v>15.54</v>
      </c>
      <c r="N143" t="str">
        <f>IF(I143="Rob","Robusta",IF(I143="Exc","Excelsa",IF(I143="Ara","Arabica",IF(I143="Lib","Liberica",""))))</f>
        <v>Arabica</v>
      </c>
      <c r="O143" t="str">
        <f t="shared" si="5"/>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INDEX(products!$A$1:$G$49,MATCH($D144,products!$A$1:$A$49,0),MATCH(orders!I$1,products!$A$1:$G$1,0))</f>
        <v>Exc</v>
      </c>
      <c r="J144" t="str">
        <f>INDEX(products!$A$1:$G$49,MATCH($D144,products!$A$1:$A$49,0),MATCH(orders!J$1,products!$A$1:$G$1,0))</f>
        <v>L</v>
      </c>
      <c r="K144" s="4">
        <f>INDEX(products!$A$1:$G$49,MATCH($D144,products!$A$1:$A$49,0),MATCH(orders!K$1,products!$A$1:$G$1,0))</f>
        <v>2.5</v>
      </c>
      <c r="L144" s="5">
        <f>INDEX(products!$A$1:$G$49,MATCH($D144,products!$A$1:$A$49,0),MATCH(orders!L$1,products!$A$1:$G$1,0))</f>
        <v>34.154999999999994</v>
      </c>
      <c r="M144" s="5">
        <f t="shared" si="4"/>
        <v>136.61999999999998</v>
      </c>
      <c r="N144" t="str">
        <f>IF(I144="Rob","Robusta",IF(I144="Exc","Excelsa",IF(I144="Ara","Arabica",IF(I144="Lib","Liberica",""))))</f>
        <v>Excelsa</v>
      </c>
      <c r="O144" t="str">
        <f t="shared" si="5"/>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INDEX(products!$A$1:$G$49,MATCH($D145,products!$A$1:$A$49,0),MATCH(orders!I$1,products!$A$1:$G$1,0))</f>
        <v>Lib</v>
      </c>
      <c r="J145" t="str">
        <f>INDEX(products!$A$1:$G$49,MATCH($D145,products!$A$1:$A$49,0),MATCH(orders!J$1,products!$A$1:$G$1,0))</f>
        <v>M</v>
      </c>
      <c r="K145" s="4">
        <f>INDEX(products!$A$1:$G$49,MATCH($D145,products!$A$1:$A$49,0),MATCH(orders!K$1,products!$A$1:$G$1,0))</f>
        <v>0.5</v>
      </c>
      <c r="L145" s="5">
        <f>INDEX(products!$A$1:$G$49,MATCH($D145,products!$A$1:$A$49,0),MATCH(orders!L$1,products!$A$1:$G$1,0))</f>
        <v>8.73</v>
      </c>
      <c r="M145" s="5">
        <f t="shared" si="4"/>
        <v>17.46</v>
      </c>
      <c r="N145" t="str">
        <f>IF(I145="Rob","Robusta",IF(I145="Exc","Excelsa",IF(I145="Ara","Arabica",IF(I145="Lib","Liberica",""))))</f>
        <v>Liberica</v>
      </c>
      <c r="O145" t="str">
        <f t="shared" si="5"/>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INDEX(products!$A$1:$G$49,MATCH($D146,products!$A$1:$A$49,0),MATCH(orders!I$1,products!$A$1:$G$1,0))</f>
        <v>Exc</v>
      </c>
      <c r="J146" t="str">
        <f>INDEX(products!$A$1:$G$49,MATCH($D146,products!$A$1:$A$49,0),MATCH(orders!J$1,products!$A$1:$G$1,0))</f>
        <v>L</v>
      </c>
      <c r="K146" s="4">
        <f>INDEX(products!$A$1:$G$49,MATCH($D146,products!$A$1:$A$49,0),MATCH(orders!K$1,products!$A$1:$G$1,0))</f>
        <v>2.5</v>
      </c>
      <c r="L146" s="5">
        <f>INDEX(products!$A$1:$G$49,MATCH($D146,products!$A$1:$A$49,0),MATCH(orders!L$1,products!$A$1:$G$1,0))</f>
        <v>34.154999999999994</v>
      </c>
      <c r="M146" s="5">
        <f t="shared" si="4"/>
        <v>68.309999999999988</v>
      </c>
      <c r="N146" t="str">
        <f>IF(I146="Rob","Robusta",IF(I146="Exc","Excelsa",IF(I146="Ara","Arabica",IF(I146="Lib","Liberica",""))))</f>
        <v>Excelsa</v>
      </c>
      <c r="O146" t="str">
        <f t="shared" si="5"/>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INDEX(products!$A$1:$G$49,MATCH($D147,products!$A$1:$A$49,0),MATCH(orders!I$1,products!$A$1:$G$1,0))</f>
        <v>Lib</v>
      </c>
      <c r="J147" t="str">
        <f>INDEX(products!$A$1:$G$49,MATCH($D147,products!$A$1:$A$49,0),MATCH(orders!J$1,products!$A$1:$G$1,0))</f>
        <v>M</v>
      </c>
      <c r="K147" s="4">
        <f>INDEX(products!$A$1:$G$49,MATCH($D147,products!$A$1:$A$49,0),MATCH(orders!K$1,products!$A$1:$G$1,0))</f>
        <v>0.2</v>
      </c>
      <c r="L147" s="5">
        <f>INDEX(products!$A$1:$G$49,MATCH($D147,products!$A$1:$A$49,0),MATCH(orders!L$1,products!$A$1:$G$1,0))</f>
        <v>4.3650000000000002</v>
      </c>
      <c r="M147" s="5">
        <f t="shared" si="4"/>
        <v>17.46</v>
      </c>
      <c r="N147" t="str">
        <f>IF(I147="Rob","Robusta",IF(I147="Exc","Excelsa",IF(I147="Ara","Arabica",IF(I147="Lib","Liberica",""))))</f>
        <v>Liberica</v>
      </c>
      <c r="O147" t="str">
        <f t="shared" si="5"/>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INDEX(products!$A$1:$G$49,MATCH($D148,products!$A$1:$A$49,0),MATCH(orders!I$1,products!$A$1:$G$1,0))</f>
        <v>Lib</v>
      </c>
      <c r="J148" t="str">
        <f>INDEX(products!$A$1:$G$49,MATCH($D148,products!$A$1:$A$49,0),MATCH(orders!J$1,products!$A$1:$G$1,0))</f>
        <v>M</v>
      </c>
      <c r="K148" s="4">
        <f>INDEX(products!$A$1:$G$49,MATCH($D148,products!$A$1:$A$49,0),MATCH(orders!K$1,products!$A$1:$G$1,0))</f>
        <v>1</v>
      </c>
      <c r="L148" s="5">
        <f>INDEX(products!$A$1:$G$49,MATCH($D148,products!$A$1:$A$49,0),MATCH(orders!L$1,products!$A$1:$G$1,0))</f>
        <v>14.55</v>
      </c>
      <c r="M148" s="5">
        <f t="shared" si="4"/>
        <v>43.650000000000006</v>
      </c>
      <c r="N148" t="str">
        <f>IF(I148="Rob","Robusta",IF(I148="Exc","Excelsa",IF(I148="Ara","Arabica",IF(I148="Lib","Liberica",""))))</f>
        <v>Liberica</v>
      </c>
      <c r="O148" t="str">
        <f t="shared" si="5"/>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INDEX(products!$A$1:$G$49,MATCH($D149,products!$A$1:$A$49,0),MATCH(orders!I$1,products!$A$1:$G$1,0))</f>
        <v>Exc</v>
      </c>
      <c r="J149" t="str">
        <f>INDEX(products!$A$1:$G$49,MATCH($D149,products!$A$1:$A$49,0),MATCH(orders!J$1,products!$A$1:$G$1,0))</f>
        <v>M</v>
      </c>
      <c r="K149" s="4">
        <f>INDEX(products!$A$1:$G$49,MATCH($D149,products!$A$1:$A$49,0),MATCH(orders!K$1,products!$A$1:$G$1,0))</f>
        <v>1</v>
      </c>
      <c r="L149" s="5">
        <f>INDEX(products!$A$1:$G$49,MATCH($D149,products!$A$1:$A$49,0),MATCH(orders!L$1,products!$A$1:$G$1,0))</f>
        <v>13.75</v>
      </c>
      <c r="M149" s="5">
        <f t="shared" si="4"/>
        <v>27.5</v>
      </c>
      <c r="N149" t="str">
        <f>IF(I149="Rob","Robusta",IF(I149="Exc","Excelsa",IF(I149="Ara","Arabica",IF(I149="Lib","Liberica",""))))</f>
        <v>Excelsa</v>
      </c>
      <c r="O149" t="str">
        <f t="shared" si="5"/>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INDEX(products!$A$1:$G$49,MATCH($D150,products!$A$1:$A$49,0),MATCH(orders!I$1,products!$A$1:$G$1,0))</f>
        <v>Exc</v>
      </c>
      <c r="J150" t="str">
        <f>INDEX(products!$A$1:$G$49,MATCH($D150,products!$A$1:$A$49,0),MATCH(orders!J$1,products!$A$1:$G$1,0))</f>
        <v>D</v>
      </c>
      <c r="K150" s="4">
        <f>INDEX(products!$A$1:$G$49,MATCH($D150,products!$A$1:$A$49,0),MATCH(orders!K$1,products!$A$1:$G$1,0))</f>
        <v>0.2</v>
      </c>
      <c r="L150" s="5">
        <f>INDEX(products!$A$1:$G$49,MATCH($D150,products!$A$1:$A$49,0),MATCH(orders!L$1,products!$A$1:$G$1,0))</f>
        <v>3.645</v>
      </c>
      <c r="M150" s="5">
        <f t="shared" si="4"/>
        <v>18.225000000000001</v>
      </c>
      <c r="N150" t="str">
        <f>IF(I150="Rob","Robusta",IF(I150="Exc","Excelsa",IF(I150="Ara","Arabica",IF(I150="Lib","Liberica",""))))</f>
        <v>Excelsa</v>
      </c>
      <c r="O150" t="str">
        <f t="shared" si="5"/>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INDEX(products!$A$1:$G$49,MATCH($D151,products!$A$1:$A$49,0),MATCH(orders!I$1,products!$A$1:$G$1,0))</f>
        <v>Ara</v>
      </c>
      <c r="J151" t="str">
        <f>INDEX(products!$A$1:$G$49,MATCH($D151,products!$A$1:$A$49,0),MATCH(orders!J$1,products!$A$1:$G$1,0))</f>
        <v>M</v>
      </c>
      <c r="K151" s="4">
        <f>INDEX(products!$A$1:$G$49,MATCH($D151,products!$A$1:$A$49,0),MATCH(orders!K$1,products!$A$1:$G$1,0))</f>
        <v>2.5</v>
      </c>
      <c r="L151" s="5">
        <f>INDEX(products!$A$1:$G$49,MATCH($D151,products!$A$1:$A$49,0),MATCH(orders!L$1,products!$A$1:$G$1,0))</f>
        <v>25.874999999999996</v>
      </c>
      <c r="M151" s="5">
        <f t="shared" si="4"/>
        <v>51.749999999999993</v>
      </c>
      <c r="N151" t="str">
        <f>IF(I151="Rob","Robusta",IF(I151="Exc","Excelsa",IF(I151="Ara","Arabica",IF(I151="Lib","Liberica",""))))</f>
        <v>Arabica</v>
      </c>
      <c r="O151" t="str">
        <f t="shared" si="5"/>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INDEX(products!$A$1:$G$49,MATCH($D152,products!$A$1:$A$49,0),MATCH(orders!I$1,products!$A$1:$G$1,0))</f>
        <v>Lib</v>
      </c>
      <c r="J152" t="str">
        <f>INDEX(products!$A$1:$G$49,MATCH($D152,products!$A$1:$A$49,0),MATCH(orders!J$1,products!$A$1:$G$1,0))</f>
        <v>D</v>
      </c>
      <c r="K152" s="4">
        <f>INDEX(products!$A$1:$G$49,MATCH($D152,products!$A$1:$A$49,0),MATCH(orders!K$1,products!$A$1:$G$1,0))</f>
        <v>1</v>
      </c>
      <c r="L152" s="5">
        <f>INDEX(products!$A$1:$G$49,MATCH($D152,products!$A$1:$A$49,0),MATCH(orders!L$1,products!$A$1:$G$1,0))</f>
        <v>12.95</v>
      </c>
      <c r="M152" s="5">
        <f t="shared" si="4"/>
        <v>12.95</v>
      </c>
      <c r="N152" t="str">
        <f>IF(I152="Rob","Robusta",IF(I152="Exc","Excelsa",IF(I152="Ara","Arabica",IF(I152="Lib","Liberica",""))))</f>
        <v>Liberica</v>
      </c>
      <c r="O152" t="str">
        <f t="shared" si="5"/>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INDEX(products!$A$1:$G$49,MATCH($D153,products!$A$1:$A$49,0),MATCH(orders!I$1,products!$A$1:$G$1,0))</f>
        <v>Ara</v>
      </c>
      <c r="J153" t="str">
        <f>INDEX(products!$A$1:$G$49,MATCH($D153,products!$A$1:$A$49,0),MATCH(orders!J$1,products!$A$1:$G$1,0))</f>
        <v>M</v>
      </c>
      <c r="K153" s="4">
        <f>INDEX(products!$A$1:$G$49,MATCH($D153,products!$A$1:$A$49,0),MATCH(orders!K$1,products!$A$1:$G$1,0))</f>
        <v>1</v>
      </c>
      <c r="L153" s="5">
        <f>INDEX(products!$A$1:$G$49,MATCH($D153,products!$A$1:$A$49,0),MATCH(orders!L$1,products!$A$1:$G$1,0))</f>
        <v>11.25</v>
      </c>
      <c r="M153" s="5">
        <f t="shared" si="4"/>
        <v>33.75</v>
      </c>
      <c r="N153" t="str">
        <f>IF(I153="Rob","Robusta",IF(I153="Exc","Excelsa",IF(I153="Ara","Arabica",IF(I153="Lib","Liberica",""))))</f>
        <v>Arabica</v>
      </c>
      <c r="O153" t="str">
        <f t="shared" si="5"/>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INDEX(products!$A$1:$G$49,MATCH($D154,products!$A$1:$A$49,0),MATCH(orders!I$1,products!$A$1:$G$1,0))</f>
        <v>Rob</v>
      </c>
      <c r="J154" t="str">
        <f>INDEX(products!$A$1:$G$49,MATCH($D154,products!$A$1:$A$49,0),MATCH(orders!J$1,products!$A$1:$G$1,0))</f>
        <v>M</v>
      </c>
      <c r="K154" s="4">
        <f>INDEX(products!$A$1:$G$49,MATCH($D154,products!$A$1:$A$49,0),MATCH(orders!K$1,products!$A$1:$G$1,0))</f>
        <v>2.5</v>
      </c>
      <c r="L154" s="5">
        <f>INDEX(products!$A$1:$G$49,MATCH($D154,products!$A$1:$A$49,0),MATCH(orders!L$1,products!$A$1:$G$1,0))</f>
        <v>22.884999999999998</v>
      </c>
      <c r="M154" s="5">
        <f t="shared" si="4"/>
        <v>68.655000000000001</v>
      </c>
      <c r="N154" t="str">
        <f>IF(I154="Rob","Robusta",IF(I154="Exc","Excelsa",IF(I154="Ara","Arabica",IF(I154="Lib","Liberica",""))))</f>
        <v>Robusta</v>
      </c>
      <c r="O154" t="str">
        <f t="shared" si="5"/>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INDEX(products!$A$1:$G$49,MATCH($D155,products!$A$1:$A$49,0),MATCH(orders!I$1,products!$A$1:$G$1,0))</f>
        <v>Rob</v>
      </c>
      <c r="J155" t="str">
        <f>INDEX(products!$A$1:$G$49,MATCH($D155,products!$A$1:$A$49,0),MATCH(orders!J$1,products!$A$1:$G$1,0))</f>
        <v>D</v>
      </c>
      <c r="K155" s="4">
        <f>INDEX(products!$A$1:$G$49,MATCH($D155,products!$A$1:$A$49,0),MATCH(orders!K$1,products!$A$1:$G$1,0))</f>
        <v>0.2</v>
      </c>
      <c r="L155" s="5">
        <f>INDEX(products!$A$1:$G$49,MATCH($D155,products!$A$1:$A$49,0),MATCH(orders!L$1,products!$A$1:$G$1,0))</f>
        <v>2.6849999999999996</v>
      </c>
      <c r="M155" s="5">
        <f t="shared" si="4"/>
        <v>2.6849999999999996</v>
      </c>
      <c r="N155" t="str">
        <f>IF(I155="Rob","Robusta",IF(I155="Exc","Excelsa",IF(I155="Ara","Arabica",IF(I155="Lib","Liberica",""))))</f>
        <v>Robusta</v>
      </c>
      <c r="O155" t="str">
        <f t="shared" si="5"/>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INDEX(products!$A$1:$G$49,MATCH($D156,products!$A$1:$A$49,0),MATCH(orders!I$1,products!$A$1:$G$1,0))</f>
        <v>Ara</v>
      </c>
      <c r="J156" t="str">
        <f>INDEX(products!$A$1:$G$49,MATCH($D156,products!$A$1:$A$49,0),MATCH(orders!J$1,products!$A$1:$G$1,0))</f>
        <v>D</v>
      </c>
      <c r="K156" s="4">
        <f>INDEX(products!$A$1:$G$49,MATCH($D156,products!$A$1:$A$49,0),MATCH(orders!K$1,products!$A$1:$G$1,0))</f>
        <v>2.5</v>
      </c>
      <c r="L156" s="5">
        <f>INDEX(products!$A$1:$G$49,MATCH($D156,products!$A$1:$A$49,0),MATCH(orders!L$1,products!$A$1:$G$1,0))</f>
        <v>22.884999999999998</v>
      </c>
      <c r="M156" s="5">
        <f t="shared" si="4"/>
        <v>114.42499999999998</v>
      </c>
      <c r="N156" t="str">
        <f>IF(I156="Rob","Robusta",IF(I156="Exc","Excelsa",IF(I156="Ara","Arabica",IF(I156="Lib","Liberica",""))))</f>
        <v>Arabica</v>
      </c>
      <c r="O156" t="str">
        <f t="shared" si="5"/>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INDEX(products!$A$1:$G$49,MATCH($D157,products!$A$1:$A$49,0),MATCH(orders!I$1,products!$A$1:$G$1,0))</f>
        <v>Ara</v>
      </c>
      <c r="J157" t="str">
        <f>INDEX(products!$A$1:$G$49,MATCH($D157,products!$A$1:$A$49,0),MATCH(orders!J$1,products!$A$1:$G$1,0))</f>
        <v>M</v>
      </c>
      <c r="K157" s="4">
        <f>INDEX(products!$A$1:$G$49,MATCH($D157,products!$A$1:$A$49,0),MATCH(orders!K$1,products!$A$1:$G$1,0))</f>
        <v>2.5</v>
      </c>
      <c r="L157" s="5">
        <f>INDEX(products!$A$1:$G$49,MATCH($D157,products!$A$1:$A$49,0),MATCH(orders!L$1,products!$A$1:$G$1,0))</f>
        <v>25.874999999999996</v>
      </c>
      <c r="M157" s="5">
        <f t="shared" si="4"/>
        <v>155.24999999999997</v>
      </c>
      <c r="N157" t="str">
        <f>IF(I157="Rob","Robusta",IF(I157="Exc","Excelsa",IF(I157="Ara","Arabica",IF(I157="Lib","Liberica",""))))</f>
        <v>Arabica</v>
      </c>
      <c r="O157" t="str">
        <f t="shared" si="5"/>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INDEX(products!$A$1:$G$49,MATCH($D158,products!$A$1:$A$49,0),MATCH(orders!I$1,products!$A$1:$G$1,0))</f>
        <v>Ara</v>
      </c>
      <c r="J158" t="str">
        <f>INDEX(products!$A$1:$G$49,MATCH($D158,products!$A$1:$A$49,0),MATCH(orders!J$1,products!$A$1:$G$1,0))</f>
        <v>M</v>
      </c>
      <c r="K158" s="4">
        <f>INDEX(products!$A$1:$G$49,MATCH($D158,products!$A$1:$A$49,0),MATCH(orders!K$1,products!$A$1:$G$1,0))</f>
        <v>2.5</v>
      </c>
      <c r="L158" s="5">
        <f>INDEX(products!$A$1:$G$49,MATCH($D158,products!$A$1:$A$49,0),MATCH(orders!L$1,products!$A$1:$G$1,0))</f>
        <v>25.874999999999996</v>
      </c>
      <c r="M158" s="5">
        <f t="shared" si="4"/>
        <v>77.624999999999986</v>
      </c>
      <c r="N158" t="str">
        <f>IF(I158="Rob","Robusta",IF(I158="Exc","Excelsa",IF(I158="Ara","Arabica",IF(I158="Lib","Liberica",""))))</f>
        <v>Arabica</v>
      </c>
      <c r="O158" t="str">
        <f t="shared" si="5"/>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INDEX(products!$A$1:$G$49,MATCH($D159,products!$A$1:$A$49,0),MATCH(orders!I$1,products!$A$1:$G$1,0))</f>
        <v>Rob</v>
      </c>
      <c r="J159" t="str">
        <f>INDEX(products!$A$1:$G$49,MATCH($D159,products!$A$1:$A$49,0),MATCH(orders!J$1,products!$A$1:$G$1,0))</f>
        <v>D</v>
      </c>
      <c r="K159" s="4">
        <f>INDEX(products!$A$1:$G$49,MATCH($D159,products!$A$1:$A$49,0),MATCH(orders!K$1,products!$A$1:$G$1,0))</f>
        <v>2.5</v>
      </c>
      <c r="L159" s="5">
        <f>INDEX(products!$A$1:$G$49,MATCH($D159,products!$A$1:$A$49,0),MATCH(orders!L$1,products!$A$1:$G$1,0))</f>
        <v>20.584999999999997</v>
      </c>
      <c r="M159" s="5">
        <f t="shared" si="4"/>
        <v>61.754999999999995</v>
      </c>
      <c r="N159" t="str">
        <f>IF(I159="Rob","Robusta",IF(I159="Exc","Excelsa",IF(I159="Ara","Arabica",IF(I159="Lib","Liberica",""))))</f>
        <v>Robusta</v>
      </c>
      <c r="O159" t="str">
        <f t="shared" si="5"/>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INDEX(products!$A$1:$G$49,MATCH($D160,products!$A$1:$A$49,0),MATCH(orders!I$1,products!$A$1:$G$1,0))</f>
        <v>Rob</v>
      </c>
      <c r="J160" t="str">
        <f>INDEX(products!$A$1:$G$49,MATCH($D160,products!$A$1:$A$49,0),MATCH(orders!J$1,products!$A$1:$G$1,0))</f>
        <v>D</v>
      </c>
      <c r="K160" s="4">
        <f>INDEX(products!$A$1:$G$49,MATCH($D160,products!$A$1:$A$49,0),MATCH(orders!K$1,products!$A$1:$G$1,0))</f>
        <v>2.5</v>
      </c>
      <c r="L160" s="5">
        <f>INDEX(products!$A$1:$G$49,MATCH($D160,products!$A$1:$A$49,0),MATCH(orders!L$1,products!$A$1:$G$1,0))</f>
        <v>20.584999999999997</v>
      </c>
      <c r="M160" s="5">
        <f t="shared" si="4"/>
        <v>123.50999999999999</v>
      </c>
      <c r="N160" t="str">
        <f>IF(I160="Rob","Robusta",IF(I160="Exc","Excelsa",IF(I160="Ara","Arabica",IF(I160="Lib","Liberica",""))))</f>
        <v>Robusta</v>
      </c>
      <c r="O160" t="str">
        <f t="shared" si="5"/>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INDEX(products!$A$1:$G$49,MATCH($D161,products!$A$1:$A$49,0),MATCH(orders!I$1,products!$A$1:$G$1,0))</f>
        <v>Lib</v>
      </c>
      <c r="J161" t="str">
        <f>INDEX(products!$A$1:$G$49,MATCH($D161,products!$A$1:$A$49,0),MATCH(orders!J$1,products!$A$1:$G$1,0))</f>
        <v>L</v>
      </c>
      <c r="K161" s="4">
        <f>INDEX(products!$A$1:$G$49,MATCH($D161,products!$A$1:$A$49,0),MATCH(orders!K$1,products!$A$1:$G$1,0))</f>
        <v>2.5</v>
      </c>
      <c r="L161" s="5">
        <f>INDEX(products!$A$1:$G$49,MATCH($D161,products!$A$1:$A$49,0),MATCH(orders!L$1,products!$A$1:$G$1,0))</f>
        <v>36.454999999999998</v>
      </c>
      <c r="M161" s="5">
        <f t="shared" si="4"/>
        <v>218.73</v>
      </c>
      <c r="N161" t="str">
        <f>IF(I161="Rob","Robusta",IF(I161="Exc","Excelsa",IF(I161="Ara","Arabica",IF(I161="Lib","Liberica",""))))</f>
        <v>Liberica</v>
      </c>
      <c r="O161" t="str">
        <f t="shared" si="5"/>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INDEX(products!$A$1:$G$49,MATCH($D162,products!$A$1:$A$49,0),MATCH(orders!I$1,products!$A$1:$G$1,0))</f>
        <v>Exc</v>
      </c>
      <c r="J162" t="str">
        <f>INDEX(products!$A$1:$G$49,MATCH($D162,products!$A$1:$A$49,0),MATCH(orders!J$1,products!$A$1:$G$1,0))</f>
        <v>M</v>
      </c>
      <c r="K162" s="4">
        <f>INDEX(products!$A$1:$G$49,MATCH($D162,products!$A$1:$A$49,0),MATCH(orders!K$1,products!$A$1:$G$1,0))</f>
        <v>0.5</v>
      </c>
      <c r="L162" s="5">
        <f>INDEX(products!$A$1:$G$49,MATCH($D162,products!$A$1:$A$49,0),MATCH(orders!L$1,products!$A$1:$G$1,0))</f>
        <v>8.25</v>
      </c>
      <c r="M162" s="5">
        <f t="shared" si="4"/>
        <v>33</v>
      </c>
      <c r="N162" t="str">
        <f>IF(I162="Rob","Robusta",IF(I162="Exc","Excelsa",IF(I162="Ara","Arabica",IF(I162="Lib","Liberica",""))))</f>
        <v>Excelsa</v>
      </c>
      <c r="O162" t="str">
        <f t="shared" si="5"/>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INDEX(products!$A$1:$G$49,MATCH($D163,products!$A$1:$A$49,0),MATCH(orders!I$1,products!$A$1:$G$1,0))</f>
        <v>Ara</v>
      </c>
      <c r="J163" t="str">
        <f>INDEX(products!$A$1:$G$49,MATCH($D163,products!$A$1:$A$49,0),MATCH(orders!J$1,products!$A$1:$G$1,0))</f>
        <v>L</v>
      </c>
      <c r="K163" s="4">
        <f>INDEX(products!$A$1:$G$49,MATCH($D163,products!$A$1:$A$49,0),MATCH(orders!K$1,products!$A$1:$G$1,0))</f>
        <v>0.5</v>
      </c>
      <c r="L163" s="5">
        <f>INDEX(products!$A$1:$G$49,MATCH($D163,products!$A$1:$A$49,0),MATCH(orders!L$1,products!$A$1:$G$1,0))</f>
        <v>7.77</v>
      </c>
      <c r="M163" s="5">
        <f t="shared" si="4"/>
        <v>23.31</v>
      </c>
      <c r="N163" t="str">
        <f>IF(I163="Rob","Robusta",IF(I163="Exc","Excelsa",IF(I163="Ara","Arabica",IF(I163="Lib","Liberica",""))))</f>
        <v>Arabica</v>
      </c>
      <c r="O163" t="str">
        <f t="shared" si="5"/>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INDEX(products!$A$1:$G$49,MATCH($D164,products!$A$1:$A$49,0),MATCH(orders!I$1,products!$A$1:$G$1,0))</f>
        <v>Exc</v>
      </c>
      <c r="J164" t="str">
        <f>INDEX(products!$A$1:$G$49,MATCH($D164,products!$A$1:$A$49,0),MATCH(orders!J$1,products!$A$1:$G$1,0))</f>
        <v>D</v>
      </c>
      <c r="K164" s="4">
        <f>INDEX(products!$A$1:$G$49,MATCH($D164,products!$A$1:$A$49,0),MATCH(orders!K$1,products!$A$1:$G$1,0))</f>
        <v>0.5</v>
      </c>
      <c r="L164" s="5">
        <f>INDEX(products!$A$1:$G$49,MATCH($D164,products!$A$1:$A$49,0),MATCH(orders!L$1,products!$A$1:$G$1,0))</f>
        <v>7.29</v>
      </c>
      <c r="M164" s="5">
        <f t="shared" si="4"/>
        <v>21.87</v>
      </c>
      <c r="N164" t="str">
        <f>IF(I164="Rob","Robusta",IF(I164="Exc","Excelsa",IF(I164="Ara","Arabica",IF(I164="Lib","Liberica",""))))</f>
        <v>Excelsa</v>
      </c>
      <c r="O164" t="str">
        <f t="shared" si="5"/>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INDEX(products!$A$1:$G$49,MATCH($D165,products!$A$1:$A$49,0),MATCH(orders!I$1,products!$A$1:$G$1,0))</f>
        <v>Rob</v>
      </c>
      <c r="J165" t="str">
        <f>INDEX(products!$A$1:$G$49,MATCH($D165,products!$A$1:$A$49,0),MATCH(orders!J$1,products!$A$1:$G$1,0))</f>
        <v>D</v>
      </c>
      <c r="K165" s="4">
        <f>INDEX(products!$A$1:$G$49,MATCH($D165,products!$A$1:$A$49,0),MATCH(orders!K$1,products!$A$1:$G$1,0))</f>
        <v>0.2</v>
      </c>
      <c r="L165" s="5">
        <f>INDEX(products!$A$1:$G$49,MATCH($D165,products!$A$1:$A$49,0),MATCH(orders!L$1,products!$A$1:$G$1,0))</f>
        <v>2.6849999999999996</v>
      </c>
      <c r="M165" s="5">
        <f t="shared" si="4"/>
        <v>16.11</v>
      </c>
      <c r="N165" t="str">
        <f>IF(I165="Rob","Robusta",IF(I165="Exc","Excelsa",IF(I165="Ara","Arabica",IF(I165="Lib","Liberica",""))))</f>
        <v>Robusta</v>
      </c>
      <c r="O165" t="str">
        <f t="shared" si="5"/>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INDEX(products!$A$1:$G$49,MATCH($D166,products!$A$1:$A$49,0),MATCH(orders!I$1,products!$A$1:$G$1,0))</f>
        <v>Exc</v>
      </c>
      <c r="J166" t="str">
        <f>INDEX(products!$A$1:$G$49,MATCH($D166,products!$A$1:$A$49,0),MATCH(orders!J$1,products!$A$1:$G$1,0))</f>
        <v>D</v>
      </c>
      <c r="K166" s="4">
        <f>INDEX(products!$A$1:$G$49,MATCH($D166,products!$A$1:$A$49,0),MATCH(orders!K$1,products!$A$1:$G$1,0))</f>
        <v>0.5</v>
      </c>
      <c r="L166" s="5">
        <f>INDEX(products!$A$1:$G$49,MATCH($D166,products!$A$1:$A$49,0),MATCH(orders!L$1,products!$A$1:$G$1,0))</f>
        <v>7.29</v>
      </c>
      <c r="M166" s="5">
        <f t="shared" si="4"/>
        <v>29.16</v>
      </c>
      <c r="N166" t="str">
        <f>IF(I166="Rob","Robusta",IF(I166="Exc","Excelsa",IF(I166="Ara","Arabica",IF(I166="Lib","Liberica",""))))</f>
        <v>Excelsa</v>
      </c>
      <c r="O166" t="str">
        <f t="shared" si="5"/>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INDEX(products!$A$1:$G$49,MATCH($D167,products!$A$1:$A$49,0),MATCH(orders!I$1,products!$A$1:$G$1,0))</f>
        <v>Rob</v>
      </c>
      <c r="J167" t="str">
        <f>INDEX(products!$A$1:$G$49,MATCH($D167,products!$A$1:$A$49,0),MATCH(orders!J$1,products!$A$1:$G$1,0))</f>
        <v>D</v>
      </c>
      <c r="K167" s="4">
        <f>INDEX(products!$A$1:$G$49,MATCH($D167,products!$A$1:$A$49,0),MATCH(orders!K$1,products!$A$1:$G$1,0))</f>
        <v>1</v>
      </c>
      <c r="L167" s="5">
        <f>INDEX(products!$A$1:$G$49,MATCH($D167,products!$A$1:$A$49,0),MATCH(orders!L$1,products!$A$1:$G$1,0))</f>
        <v>8.9499999999999993</v>
      </c>
      <c r="M167" s="5">
        <f t="shared" si="4"/>
        <v>53.699999999999996</v>
      </c>
      <c r="N167" t="str">
        <f>IF(I167="Rob","Robusta",IF(I167="Exc","Excelsa",IF(I167="Ara","Arabica",IF(I167="Lib","Liberica",""))))</f>
        <v>Robusta</v>
      </c>
      <c r="O167" t="str">
        <f t="shared" si="5"/>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INDEX(products!$A$1:$G$49,MATCH($D168,products!$A$1:$A$49,0),MATCH(orders!I$1,products!$A$1:$G$1,0))</f>
        <v>Rob</v>
      </c>
      <c r="J168" t="str">
        <f>INDEX(products!$A$1:$G$49,MATCH($D168,products!$A$1:$A$49,0),MATCH(orders!J$1,products!$A$1:$G$1,0))</f>
        <v>D</v>
      </c>
      <c r="K168" s="4">
        <f>INDEX(products!$A$1:$G$49,MATCH($D168,products!$A$1:$A$49,0),MATCH(orders!K$1,products!$A$1:$G$1,0))</f>
        <v>0.5</v>
      </c>
      <c r="L168" s="5">
        <f>INDEX(products!$A$1:$G$49,MATCH($D168,products!$A$1:$A$49,0),MATCH(orders!L$1,products!$A$1:$G$1,0))</f>
        <v>5.3699999999999992</v>
      </c>
      <c r="M168" s="5">
        <f t="shared" si="4"/>
        <v>26.849999999999994</v>
      </c>
      <c r="N168" t="str">
        <f>IF(I168="Rob","Robusta",IF(I168="Exc","Excelsa",IF(I168="Ara","Arabica",IF(I168="Lib","Liberica",""))))</f>
        <v>Robusta</v>
      </c>
      <c r="O168" t="str">
        <f t="shared" si="5"/>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INDEX(products!$A$1:$G$49,MATCH($D169,products!$A$1:$A$49,0),MATCH(orders!I$1,products!$A$1:$G$1,0))</f>
        <v>Exc</v>
      </c>
      <c r="J169" t="str">
        <f>INDEX(products!$A$1:$G$49,MATCH($D169,products!$A$1:$A$49,0),MATCH(orders!J$1,products!$A$1:$G$1,0))</f>
        <v>M</v>
      </c>
      <c r="K169" s="4">
        <f>INDEX(products!$A$1:$G$49,MATCH($D169,products!$A$1:$A$49,0),MATCH(orders!K$1,products!$A$1:$G$1,0))</f>
        <v>0.5</v>
      </c>
      <c r="L169" s="5">
        <f>INDEX(products!$A$1:$G$49,MATCH($D169,products!$A$1:$A$49,0),MATCH(orders!L$1,products!$A$1:$G$1,0))</f>
        <v>8.25</v>
      </c>
      <c r="M169" s="5">
        <f t="shared" si="4"/>
        <v>41.25</v>
      </c>
      <c r="N169" t="str">
        <f>IF(I169="Rob","Robusta",IF(I169="Exc","Excelsa",IF(I169="Ara","Arabica",IF(I169="Lib","Liberica",""))))</f>
        <v>Excelsa</v>
      </c>
      <c r="O169" t="str">
        <f t="shared" si="5"/>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INDEX(products!$A$1:$G$49,MATCH($D170,products!$A$1:$A$49,0),MATCH(orders!I$1,products!$A$1:$G$1,0))</f>
        <v>Ara</v>
      </c>
      <c r="J170" t="str">
        <f>INDEX(products!$A$1:$G$49,MATCH($D170,products!$A$1:$A$49,0),MATCH(orders!J$1,products!$A$1:$G$1,0))</f>
        <v>M</v>
      </c>
      <c r="K170" s="4">
        <f>INDEX(products!$A$1:$G$49,MATCH($D170,products!$A$1:$A$49,0),MATCH(orders!K$1,products!$A$1:$G$1,0))</f>
        <v>0.5</v>
      </c>
      <c r="L170" s="5">
        <f>INDEX(products!$A$1:$G$49,MATCH($D170,products!$A$1:$A$49,0),MATCH(orders!L$1,products!$A$1:$G$1,0))</f>
        <v>6.75</v>
      </c>
      <c r="M170" s="5">
        <f t="shared" si="4"/>
        <v>40.5</v>
      </c>
      <c r="N170" t="str">
        <f>IF(I170="Rob","Robusta",IF(I170="Exc","Excelsa",IF(I170="Ara","Arabica",IF(I170="Lib","Liberica",""))))</f>
        <v>Arabica</v>
      </c>
      <c r="O170" t="str">
        <f t="shared" si="5"/>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INDEX(products!$A$1:$G$49,MATCH($D171,products!$A$1:$A$49,0),MATCH(orders!I$1,products!$A$1:$G$1,0))</f>
        <v>Rob</v>
      </c>
      <c r="J171" t="str">
        <f>INDEX(products!$A$1:$G$49,MATCH($D171,products!$A$1:$A$49,0),MATCH(orders!J$1,products!$A$1:$G$1,0))</f>
        <v>D</v>
      </c>
      <c r="K171" s="4">
        <f>INDEX(products!$A$1:$G$49,MATCH($D171,products!$A$1:$A$49,0),MATCH(orders!K$1,products!$A$1:$G$1,0))</f>
        <v>1</v>
      </c>
      <c r="L171" s="5">
        <f>INDEX(products!$A$1:$G$49,MATCH($D171,products!$A$1:$A$49,0),MATCH(orders!L$1,products!$A$1:$G$1,0))</f>
        <v>8.9499999999999993</v>
      </c>
      <c r="M171" s="5">
        <f t="shared" si="4"/>
        <v>17.899999999999999</v>
      </c>
      <c r="N171" t="str">
        <f>IF(I171="Rob","Robusta",IF(I171="Exc","Excelsa",IF(I171="Ara","Arabica",IF(I171="Lib","Liberica",""))))</f>
        <v>Robusta</v>
      </c>
      <c r="O171" t="str">
        <f t="shared" si="5"/>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INDEX(products!$A$1:$G$49,MATCH($D172,products!$A$1:$A$49,0),MATCH(orders!I$1,products!$A$1:$G$1,0))</f>
        <v>Exc</v>
      </c>
      <c r="J172" t="str">
        <f>INDEX(products!$A$1:$G$49,MATCH($D172,products!$A$1:$A$49,0),MATCH(orders!J$1,products!$A$1:$G$1,0))</f>
        <v>L</v>
      </c>
      <c r="K172" s="4">
        <f>INDEX(products!$A$1:$G$49,MATCH($D172,products!$A$1:$A$49,0),MATCH(orders!K$1,products!$A$1:$G$1,0))</f>
        <v>2.5</v>
      </c>
      <c r="L172" s="5">
        <f>INDEX(products!$A$1:$G$49,MATCH($D172,products!$A$1:$A$49,0),MATCH(orders!L$1,products!$A$1:$G$1,0))</f>
        <v>34.154999999999994</v>
      </c>
      <c r="M172" s="5">
        <f t="shared" si="4"/>
        <v>68.309999999999988</v>
      </c>
      <c r="N172" t="str">
        <f>IF(I172="Rob","Robusta",IF(I172="Exc","Excelsa",IF(I172="Ara","Arabica",IF(I172="Lib","Liberica",""))))</f>
        <v>Excelsa</v>
      </c>
      <c r="O172" t="str">
        <f t="shared" si="5"/>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INDEX(products!$A$1:$G$49,MATCH($D173,products!$A$1:$A$49,0),MATCH(orders!I$1,products!$A$1:$G$1,0))</f>
        <v>Exc</v>
      </c>
      <c r="J173" t="str">
        <f>INDEX(products!$A$1:$G$49,MATCH($D173,products!$A$1:$A$49,0),MATCH(orders!J$1,products!$A$1:$G$1,0))</f>
        <v>M</v>
      </c>
      <c r="K173" s="4">
        <f>INDEX(products!$A$1:$G$49,MATCH($D173,products!$A$1:$A$49,0),MATCH(orders!K$1,products!$A$1:$G$1,0))</f>
        <v>2.5</v>
      </c>
      <c r="L173" s="5">
        <f>INDEX(products!$A$1:$G$49,MATCH($D173,products!$A$1:$A$49,0),MATCH(orders!L$1,products!$A$1:$G$1,0))</f>
        <v>31.624999999999996</v>
      </c>
      <c r="M173" s="5">
        <f t="shared" si="4"/>
        <v>63.249999999999993</v>
      </c>
      <c r="N173" t="str">
        <f>IF(I173="Rob","Robusta",IF(I173="Exc","Excelsa",IF(I173="Ara","Arabica",IF(I173="Lib","Liberica",""))))</f>
        <v>Excelsa</v>
      </c>
      <c r="O173" t="str">
        <f t="shared" si="5"/>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INDEX(products!$A$1:$G$49,MATCH($D174,products!$A$1:$A$49,0),MATCH(orders!I$1,products!$A$1:$G$1,0))</f>
        <v>Exc</v>
      </c>
      <c r="J174" t="str">
        <f>INDEX(products!$A$1:$G$49,MATCH($D174,products!$A$1:$A$49,0),MATCH(orders!J$1,products!$A$1:$G$1,0))</f>
        <v>D</v>
      </c>
      <c r="K174" s="4">
        <f>INDEX(products!$A$1:$G$49,MATCH($D174,products!$A$1:$A$49,0),MATCH(orders!K$1,products!$A$1:$G$1,0))</f>
        <v>0.5</v>
      </c>
      <c r="L174" s="5">
        <f>INDEX(products!$A$1:$G$49,MATCH($D174,products!$A$1:$A$49,0),MATCH(orders!L$1,products!$A$1:$G$1,0))</f>
        <v>7.29</v>
      </c>
      <c r="M174" s="5">
        <f t="shared" si="4"/>
        <v>21.87</v>
      </c>
      <c r="N174" t="str">
        <f>IF(I174="Rob","Robusta",IF(I174="Exc","Excelsa",IF(I174="Ara","Arabica",IF(I174="Lib","Liberica",""))))</f>
        <v>Excelsa</v>
      </c>
      <c r="O174" t="str">
        <f t="shared" si="5"/>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INDEX(products!$A$1:$G$49,MATCH($D175,products!$A$1:$A$49,0),MATCH(orders!I$1,products!$A$1:$G$1,0))</f>
        <v>Rob</v>
      </c>
      <c r="J175" t="str">
        <f>INDEX(products!$A$1:$G$49,MATCH($D175,products!$A$1:$A$49,0),MATCH(orders!J$1,products!$A$1:$G$1,0))</f>
        <v>M</v>
      </c>
      <c r="K175" s="4">
        <f>INDEX(products!$A$1:$G$49,MATCH($D175,products!$A$1:$A$49,0),MATCH(orders!K$1,products!$A$1:$G$1,0))</f>
        <v>2.5</v>
      </c>
      <c r="L175" s="5">
        <f>INDEX(products!$A$1:$G$49,MATCH($D175,products!$A$1:$A$49,0),MATCH(orders!L$1,products!$A$1:$G$1,0))</f>
        <v>22.884999999999998</v>
      </c>
      <c r="M175" s="5">
        <f t="shared" si="4"/>
        <v>91.539999999999992</v>
      </c>
      <c r="N175" t="str">
        <f>IF(I175="Rob","Robusta",IF(I175="Exc","Excelsa",IF(I175="Ara","Arabica",IF(I175="Lib","Liberica",""))))</f>
        <v>Robusta</v>
      </c>
      <c r="O175" t="str">
        <f t="shared" si="5"/>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INDEX(products!$A$1:$G$49,MATCH($D176,products!$A$1:$A$49,0),MATCH(orders!I$1,products!$A$1:$G$1,0))</f>
        <v>Exc</v>
      </c>
      <c r="J176" t="str">
        <f>INDEX(products!$A$1:$G$49,MATCH($D176,products!$A$1:$A$49,0),MATCH(orders!J$1,products!$A$1:$G$1,0))</f>
        <v>L</v>
      </c>
      <c r="K176" s="4">
        <f>INDEX(products!$A$1:$G$49,MATCH($D176,products!$A$1:$A$49,0),MATCH(orders!K$1,products!$A$1:$G$1,0))</f>
        <v>2.5</v>
      </c>
      <c r="L176" s="5">
        <f>INDEX(products!$A$1:$G$49,MATCH($D176,products!$A$1:$A$49,0),MATCH(orders!L$1,products!$A$1:$G$1,0))</f>
        <v>34.154999999999994</v>
      </c>
      <c r="M176" s="5">
        <f t="shared" si="4"/>
        <v>204.92999999999995</v>
      </c>
      <c r="N176" t="str">
        <f>IF(I176="Rob","Robusta",IF(I176="Exc","Excelsa",IF(I176="Ara","Arabica",IF(I176="Lib","Liberica",""))))</f>
        <v>Excelsa</v>
      </c>
      <c r="O176" t="str">
        <f t="shared" si="5"/>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INDEX(products!$A$1:$G$49,MATCH($D177,products!$A$1:$A$49,0),MATCH(orders!I$1,products!$A$1:$G$1,0))</f>
        <v>Exc</v>
      </c>
      <c r="J177" t="str">
        <f>INDEX(products!$A$1:$G$49,MATCH($D177,products!$A$1:$A$49,0),MATCH(orders!J$1,products!$A$1:$G$1,0))</f>
        <v>M</v>
      </c>
      <c r="K177" s="4">
        <f>INDEX(products!$A$1:$G$49,MATCH($D177,products!$A$1:$A$49,0),MATCH(orders!K$1,products!$A$1:$G$1,0))</f>
        <v>2.5</v>
      </c>
      <c r="L177" s="5">
        <f>INDEX(products!$A$1:$G$49,MATCH($D177,products!$A$1:$A$49,0),MATCH(orders!L$1,products!$A$1:$G$1,0))</f>
        <v>31.624999999999996</v>
      </c>
      <c r="M177" s="5">
        <f t="shared" si="4"/>
        <v>63.249999999999993</v>
      </c>
      <c r="N177" t="str">
        <f>IF(I177="Rob","Robusta",IF(I177="Exc","Excelsa",IF(I177="Ara","Arabica",IF(I177="Lib","Liberica",""))))</f>
        <v>Excelsa</v>
      </c>
      <c r="O177" t="str">
        <f t="shared" si="5"/>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INDEX(products!$A$1:$G$49,MATCH($D178,products!$A$1:$A$49,0),MATCH(orders!I$1,products!$A$1:$G$1,0))</f>
        <v>Exc</v>
      </c>
      <c r="J178" t="str">
        <f>INDEX(products!$A$1:$G$49,MATCH($D178,products!$A$1:$A$49,0),MATCH(orders!J$1,products!$A$1:$G$1,0))</f>
        <v>L</v>
      </c>
      <c r="K178" s="4">
        <f>INDEX(products!$A$1:$G$49,MATCH($D178,products!$A$1:$A$49,0),MATCH(orders!K$1,products!$A$1:$G$1,0))</f>
        <v>2.5</v>
      </c>
      <c r="L178" s="5">
        <f>INDEX(products!$A$1:$G$49,MATCH($D178,products!$A$1:$A$49,0),MATCH(orders!L$1,products!$A$1:$G$1,0))</f>
        <v>34.154999999999994</v>
      </c>
      <c r="M178" s="5">
        <f t="shared" si="4"/>
        <v>34.154999999999994</v>
      </c>
      <c r="N178" t="str">
        <f>IF(I178="Rob","Robusta",IF(I178="Exc","Excelsa",IF(I178="Ara","Arabica",IF(I178="Lib","Liberica",""))))</f>
        <v>Excelsa</v>
      </c>
      <c r="O178" t="str">
        <f t="shared" si="5"/>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INDEX(products!$A$1:$G$49,MATCH($D179,products!$A$1:$A$49,0),MATCH(orders!I$1,products!$A$1:$G$1,0))</f>
        <v>Rob</v>
      </c>
      <c r="J179" t="str">
        <f>INDEX(products!$A$1:$G$49,MATCH($D179,products!$A$1:$A$49,0),MATCH(orders!J$1,products!$A$1:$G$1,0))</f>
        <v>L</v>
      </c>
      <c r="K179" s="4">
        <f>INDEX(products!$A$1:$G$49,MATCH($D179,products!$A$1:$A$49,0),MATCH(orders!K$1,products!$A$1:$G$1,0))</f>
        <v>2.5</v>
      </c>
      <c r="L179" s="5">
        <f>INDEX(products!$A$1:$G$49,MATCH($D179,products!$A$1:$A$49,0),MATCH(orders!L$1,products!$A$1:$G$1,0))</f>
        <v>27.484999999999996</v>
      </c>
      <c r="M179" s="5">
        <f t="shared" si="4"/>
        <v>109.93999999999998</v>
      </c>
      <c r="N179" t="str">
        <f>IF(I179="Rob","Robusta",IF(I179="Exc","Excelsa",IF(I179="Ara","Arabica",IF(I179="Lib","Liberica",""))))</f>
        <v>Robusta</v>
      </c>
      <c r="O179" t="str">
        <f t="shared" si="5"/>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INDEX(products!$A$1:$G$49,MATCH($D180,products!$A$1:$A$49,0),MATCH(orders!I$1,products!$A$1:$G$1,0))</f>
        <v>Ara</v>
      </c>
      <c r="J180" t="str">
        <f>INDEX(products!$A$1:$G$49,MATCH($D180,products!$A$1:$A$49,0),MATCH(orders!J$1,products!$A$1:$G$1,0))</f>
        <v>L</v>
      </c>
      <c r="K180" s="4">
        <f>INDEX(products!$A$1:$G$49,MATCH($D180,products!$A$1:$A$49,0),MATCH(orders!K$1,products!$A$1:$G$1,0))</f>
        <v>1</v>
      </c>
      <c r="L180" s="5">
        <f>INDEX(products!$A$1:$G$49,MATCH($D180,products!$A$1:$A$49,0),MATCH(orders!L$1,products!$A$1:$G$1,0))</f>
        <v>12.95</v>
      </c>
      <c r="M180" s="5">
        <f t="shared" si="4"/>
        <v>25.9</v>
      </c>
      <c r="N180" t="str">
        <f>IF(I180="Rob","Robusta",IF(I180="Exc","Excelsa",IF(I180="Ara","Arabica",IF(I180="Lib","Liberica",""))))</f>
        <v>Arabica</v>
      </c>
      <c r="O180" t="str">
        <f t="shared" si="5"/>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INDEX(products!$A$1:$G$49,MATCH($D181,products!$A$1:$A$49,0),MATCH(orders!I$1,products!$A$1:$G$1,0))</f>
        <v>Ara</v>
      </c>
      <c r="J181" t="str">
        <f>INDEX(products!$A$1:$G$49,MATCH($D181,products!$A$1:$A$49,0),MATCH(orders!J$1,products!$A$1:$G$1,0))</f>
        <v>D</v>
      </c>
      <c r="K181" s="4">
        <f>INDEX(products!$A$1:$G$49,MATCH($D181,products!$A$1:$A$49,0),MATCH(orders!K$1,products!$A$1:$G$1,0))</f>
        <v>0.2</v>
      </c>
      <c r="L181" s="5">
        <f>INDEX(products!$A$1:$G$49,MATCH($D181,products!$A$1:$A$49,0),MATCH(orders!L$1,products!$A$1:$G$1,0))</f>
        <v>2.9849999999999999</v>
      </c>
      <c r="M181" s="5">
        <f t="shared" si="4"/>
        <v>2.9849999999999999</v>
      </c>
      <c r="N181" t="str">
        <f>IF(I181="Rob","Robusta",IF(I181="Exc","Excelsa",IF(I181="Ara","Arabica",IF(I181="Lib","Liberica",""))))</f>
        <v>Arabica</v>
      </c>
      <c r="O181" t="str">
        <f t="shared" si="5"/>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INDEX(products!$A$1:$G$49,MATCH($D182,products!$A$1:$A$49,0),MATCH(orders!I$1,products!$A$1:$G$1,0))</f>
        <v>Exc</v>
      </c>
      <c r="J182" t="str">
        <f>INDEX(products!$A$1:$G$49,MATCH($D182,products!$A$1:$A$49,0),MATCH(orders!J$1,products!$A$1:$G$1,0))</f>
        <v>L</v>
      </c>
      <c r="K182" s="4">
        <f>INDEX(products!$A$1:$G$49,MATCH($D182,products!$A$1:$A$49,0),MATCH(orders!K$1,products!$A$1:$G$1,0))</f>
        <v>0.2</v>
      </c>
      <c r="L182" s="5">
        <f>INDEX(products!$A$1:$G$49,MATCH($D182,products!$A$1:$A$49,0),MATCH(orders!L$1,products!$A$1:$G$1,0))</f>
        <v>4.4550000000000001</v>
      </c>
      <c r="M182" s="5">
        <f t="shared" si="4"/>
        <v>22.274999999999999</v>
      </c>
      <c r="N182" t="str">
        <f>IF(I182="Rob","Robusta",IF(I182="Exc","Excelsa",IF(I182="Ara","Arabica",IF(I182="Lib","Liberica",""))))</f>
        <v>Excelsa</v>
      </c>
      <c r="O182" t="str">
        <f t="shared" si="5"/>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INDEX(products!$A$1:$G$49,MATCH($D183,products!$A$1:$A$49,0),MATCH(orders!I$1,products!$A$1:$G$1,0))</f>
        <v>Ara</v>
      </c>
      <c r="J183" t="str">
        <f>INDEX(products!$A$1:$G$49,MATCH($D183,products!$A$1:$A$49,0),MATCH(orders!J$1,products!$A$1:$G$1,0))</f>
        <v>D</v>
      </c>
      <c r="K183" s="4">
        <f>INDEX(products!$A$1:$G$49,MATCH($D183,products!$A$1:$A$49,0),MATCH(orders!K$1,products!$A$1:$G$1,0))</f>
        <v>0.5</v>
      </c>
      <c r="L183" s="5">
        <f>INDEX(products!$A$1:$G$49,MATCH($D183,products!$A$1:$A$49,0),MATCH(orders!L$1,products!$A$1:$G$1,0))</f>
        <v>5.97</v>
      </c>
      <c r="M183" s="5">
        <f t="shared" si="4"/>
        <v>29.849999999999998</v>
      </c>
      <c r="N183" t="str">
        <f>IF(I183="Rob","Robusta",IF(I183="Exc","Excelsa",IF(I183="Ara","Arabica",IF(I183="Lib","Liberica",""))))</f>
        <v>Arabica</v>
      </c>
      <c r="O183" t="str">
        <f t="shared" si="5"/>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INDEX(products!$A$1:$G$49,MATCH($D184,products!$A$1:$A$49,0),MATCH(orders!I$1,products!$A$1:$G$1,0))</f>
        <v>Rob</v>
      </c>
      <c r="J184" t="str">
        <f>INDEX(products!$A$1:$G$49,MATCH($D184,products!$A$1:$A$49,0),MATCH(orders!J$1,products!$A$1:$G$1,0))</f>
        <v>D</v>
      </c>
      <c r="K184" s="4">
        <f>INDEX(products!$A$1:$G$49,MATCH($D184,products!$A$1:$A$49,0),MATCH(orders!K$1,products!$A$1:$G$1,0))</f>
        <v>0.5</v>
      </c>
      <c r="L184" s="5">
        <f>INDEX(products!$A$1:$G$49,MATCH($D184,products!$A$1:$A$49,0),MATCH(orders!L$1,products!$A$1:$G$1,0))</f>
        <v>5.3699999999999992</v>
      </c>
      <c r="M184" s="5">
        <f t="shared" si="4"/>
        <v>32.22</v>
      </c>
      <c r="N184" t="str">
        <f>IF(I184="Rob","Robusta",IF(I184="Exc","Excelsa",IF(I184="Ara","Arabica",IF(I184="Lib","Liberica",""))))</f>
        <v>Robusta</v>
      </c>
      <c r="O184" t="str">
        <f t="shared" si="5"/>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INDEX(products!$A$1:$G$49,MATCH($D185,products!$A$1:$A$49,0),MATCH(orders!I$1,products!$A$1:$G$1,0))</f>
        <v>Exc</v>
      </c>
      <c r="J185" t="str">
        <f>INDEX(products!$A$1:$G$49,MATCH($D185,products!$A$1:$A$49,0),MATCH(orders!J$1,products!$A$1:$G$1,0))</f>
        <v>M</v>
      </c>
      <c r="K185" s="4">
        <f>INDEX(products!$A$1:$G$49,MATCH($D185,products!$A$1:$A$49,0),MATCH(orders!K$1,products!$A$1:$G$1,0))</f>
        <v>0.2</v>
      </c>
      <c r="L185" s="5">
        <f>INDEX(products!$A$1:$G$49,MATCH($D185,products!$A$1:$A$49,0),MATCH(orders!L$1,products!$A$1:$G$1,0))</f>
        <v>4.125</v>
      </c>
      <c r="M185" s="5">
        <f t="shared" si="4"/>
        <v>8.25</v>
      </c>
      <c r="N185" t="str">
        <f>IF(I185="Rob","Robusta",IF(I185="Exc","Excelsa",IF(I185="Ara","Arabica",IF(I185="Lib","Liberica",""))))</f>
        <v>Excelsa</v>
      </c>
      <c r="O185" t="str">
        <f t="shared" si="5"/>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INDEX(products!$A$1:$G$49,MATCH($D186,products!$A$1:$A$49,0),MATCH(orders!I$1,products!$A$1:$G$1,0))</f>
        <v>Ara</v>
      </c>
      <c r="J186" t="str">
        <f>INDEX(products!$A$1:$G$49,MATCH($D186,products!$A$1:$A$49,0),MATCH(orders!J$1,products!$A$1:$G$1,0))</f>
        <v>L</v>
      </c>
      <c r="K186" s="4">
        <f>INDEX(products!$A$1:$G$49,MATCH($D186,products!$A$1:$A$49,0),MATCH(orders!K$1,products!$A$1:$G$1,0))</f>
        <v>0.5</v>
      </c>
      <c r="L186" s="5">
        <f>INDEX(products!$A$1:$G$49,MATCH($D186,products!$A$1:$A$49,0),MATCH(orders!L$1,products!$A$1:$G$1,0))</f>
        <v>7.77</v>
      </c>
      <c r="M186" s="5">
        <f t="shared" si="4"/>
        <v>31.08</v>
      </c>
      <c r="N186" t="str">
        <f>IF(I186="Rob","Robusta",IF(I186="Exc","Excelsa",IF(I186="Ara","Arabica",IF(I186="Lib","Liberica",""))))</f>
        <v>Arabica</v>
      </c>
      <c r="O186" t="str">
        <f t="shared" si="5"/>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INDEX(products!$A$1:$G$49,MATCH($D187,products!$A$1:$A$49,0),MATCH(orders!I$1,products!$A$1:$G$1,0))</f>
        <v>Exc</v>
      </c>
      <c r="J187" t="str">
        <f>INDEX(products!$A$1:$G$49,MATCH($D187,products!$A$1:$A$49,0),MATCH(orders!J$1,products!$A$1:$G$1,0))</f>
        <v>D</v>
      </c>
      <c r="K187" s="4">
        <f>INDEX(products!$A$1:$G$49,MATCH($D187,products!$A$1:$A$49,0),MATCH(orders!K$1,products!$A$1:$G$1,0))</f>
        <v>0.5</v>
      </c>
      <c r="L187" s="5">
        <f>INDEX(products!$A$1:$G$49,MATCH($D187,products!$A$1:$A$49,0),MATCH(orders!L$1,products!$A$1:$G$1,0))</f>
        <v>7.29</v>
      </c>
      <c r="M187" s="5">
        <f t="shared" si="4"/>
        <v>36.450000000000003</v>
      </c>
      <c r="N187" t="str">
        <f>IF(I187="Rob","Robusta",IF(I187="Exc","Excelsa",IF(I187="Ara","Arabica",IF(I187="Lib","Liberica",""))))</f>
        <v>Excelsa</v>
      </c>
      <c r="O187" t="str">
        <f t="shared" si="5"/>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INDEX(products!$A$1:$G$49,MATCH($D188,products!$A$1:$A$49,0),MATCH(orders!I$1,products!$A$1:$G$1,0))</f>
        <v>Rob</v>
      </c>
      <c r="J188" t="str">
        <f>INDEX(products!$A$1:$G$49,MATCH($D188,products!$A$1:$A$49,0),MATCH(orders!J$1,products!$A$1:$G$1,0))</f>
        <v>M</v>
      </c>
      <c r="K188" s="4">
        <f>INDEX(products!$A$1:$G$49,MATCH($D188,products!$A$1:$A$49,0),MATCH(orders!K$1,products!$A$1:$G$1,0))</f>
        <v>2.5</v>
      </c>
      <c r="L188" s="5">
        <f>INDEX(products!$A$1:$G$49,MATCH($D188,products!$A$1:$A$49,0),MATCH(orders!L$1,products!$A$1:$G$1,0))</f>
        <v>22.884999999999998</v>
      </c>
      <c r="M188" s="5">
        <f t="shared" si="4"/>
        <v>68.655000000000001</v>
      </c>
      <c r="N188" t="str">
        <f>IF(I188="Rob","Robusta",IF(I188="Exc","Excelsa",IF(I188="Ara","Arabica",IF(I188="Lib","Liberica",""))))</f>
        <v>Robusta</v>
      </c>
      <c r="O188" t="str">
        <f t="shared" si="5"/>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INDEX(products!$A$1:$G$49,MATCH($D189,products!$A$1:$A$49,0),MATCH(orders!I$1,products!$A$1:$G$1,0))</f>
        <v>Lib</v>
      </c>
      <c r="J189" t="str">
        <f>INDEX(products!$A$1:$G$49,MATCH($D189,products!$A$1:$A$49,0),MATCH(orders!J$1,products!$A$1:$G$1,0))</f>
        <v>M</v>
      </c>
      <c r="K189" s="4">
        <f>INDEX(products!$A$1:$G$49,MATCH($D189,products!$A$1:$A$49,0),MATCH(orders!K$1,products!$A$1:$G$1,0))</f>
        <v>0.5</v>
      </c>
      <c r="L189" s="5">
        <f>INDEX(products!$A$1:$G$49,MATCH($D189,products!$A$1:$A$49,0),MATCH(orders!L$1,products!$A$1:$G$1,0))</f>
        <v>8.73</v>
      </c>
      <c r="M189" s="5">
        <f t="shared" si="4"/>
        <v>43.650000000000006</v>
      </c>
      <c r="N189" t="str">
        <f>IF(I189="Rob","Robusta",IF(I189="Exc","Excelsa",IF(I189="Ara","Arabica",IF(I189="Lib","Liberica",""))))</f>
        <v>Liberica</v>
      </c>
      <c r="O189" t="str">
        <f t="shared" si="5"/>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INDEX(products!$A$1:$G$49,MATCH($D190,products!$A$1:$A$49,0),MATCH(orders!I$1,products!$A$1:$G$1,0))</f>
        <v>Exc</v>
      </c>
      <c r="J190" t="str">
        <f>INDEX(products!$A$1:$G$49,MATCH($D190,products!$A$1:$A$49,0),MATCH(orders!J$1,products!$A$1:$G$1,0))</f>
        <v>L</v>
      </c>
      <c r="K190" s="4">
        <f>INDEX(products!$A$1:$G$49,MATCH($D190,products!$A$1:$A$49,0),MATCH(orders!K$1,products!$A$1:$G$1,0))</f>
        <v>0.2</v>
      </c>
      <c r="L190" s="5">
        <f>INDEX(products!$A$1:$G$49,MATCH($D190,products!$A$1:$A$49,0),MATCH(orders!L$1,products!$A$1:$G$1,0))</f>
        <v>4.4550000000000001</v>
      </c>
      <c r="M190" s="5">
        <f t="shared" si="4"/>
        <v>4.4550000000000001</v>
      </c>
      <c r="N190" t="str">
        <f>IF(I190="Rob","Robusta",IF(I190="Exc","Excelsa",IF(I190="Ara","Arabica",IF(I190="Lib","Liberica",""))))</f>
        <v>Excelsa</v>
      </c>
      <c r="O190" t="str">
        <f t="shared" si="5"/>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INDEX(products!$A$1:$G$49,MATCH($D191,products!$A$1:$A$49,0),MATCH(orders!I$1,products!$A$1:$G$1,0))</f>
        <v>Lib</v>
      </c>
      <c r="J191" t="str">
        <f>INDEX(products!$A$1:$G$49,MATCH($D191,products!$A$1:$A$49,0),MATCH(orders!J$1,products!$A$1:$G$1,0))</f>
        <v>M</v>
      </c>
      <c r="K191" s="4">
        <f>INDEX(products!$A$1:$G$49,MATCH($D191,products!$A$1:$A$49,0),MATCH(orders!K$1,products!$A$1:$G$1,0))</f>
        <v>1</v>
      </c>
      <c r="L191" s="5">
        <f>INDEX(products!$A$1:$G$49,MATCH($D191,products!$A$1:$A$49,0),MATCH(orders!L$1,products!$A$1:$G$1,0))</f>
        <v>14.55</v>
      </c>
      <c r="M191" s="5">
        <f t="shared" si="4"/>
        <v>43.650000000000006</v>
      </c>
      <c r="N191" t="str">
        <f>IF(I191="Rob","Robusta",IF(I191="Exc","Excelsa",IF(I191="Ara","Arabica",IF(I191="Lib","Liberica",""))))</f>
        <v>Liberica</v>
      </c>
      <c r="O191" t="str">
        <f t="shared" si="5"/>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INDEX(products!$A$1:$G$49,MATCH($D192,products!$A$1:$A$49,0),MATCH(orders!I$1,products!$A$1:$G$1,0))</f>
        <v>Lib</v>
      </c>
      <c r="J192" t="str">
        <f>INDEX(products!$A$1:$G$49,MATCH($D192,products!$A$1:$A$49,0),MATCH(orders!J$1,products!$A$1:$G$1,0))</f>
        <v>M</v>
      </c>
      <c r="K192" s="4">
        <f>INDEX(products!$A$1:$G$49,MATCH($D192,products!$A$1:$A$49,0),MATCH(orders!K$1,products!$A$1:$G$1,0))</f>
        <v>2.5</v>
      </c>
      <c r="L192" s="5">
        <f>INDEX(products!$A$1:$G$49,MATCH($D192,products!$A$1:$A$49,0),MATCH(orders!L$1,products!$A$1:$G$1,0))</f>
        <v>33.464999999999996</v>
      </c>
      <c r="M192" s="5">
        <f t="shared" si="4"/>
        <v>33.464999999999996</v>
      </c>
      <c r="N192" t="str">
        <f>IF(I192="Rob","Robusta",IF(I192="Exc","Excelsa",IF(I192="Ara","Arabica",IF(I192="Lib","Liberica",""))))</f>
        <v>Liberica</v>
      </c>
      <c r="O192" t="str">
        <f t="shared" si="5"/>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INDEX(products!$A$1:$G$49,MATCH($D193,products!$A$1:$A$49,0),MATCH(orders!I$1,products!$A$1:$G$1,0))</f>
        <v>Lib</v>
      </c>
      <c r="J193" t="str">
        <f>INDEX(products!$A$1:$G$49,MATCH($D193,products!$A$1:$A$49,0),MATCH(orders!J$1,products!$A$1:$G$1,0))</f>
        <v>D</v>
      </c>
      <c r="K193" s="4">
        <f>INDEX(products!$A$1:$G$49,MATCH($D193,products!$A$1:$A$49,0),MATCH(orders!K$1,products!$A$1:$G$1,0))</f>
        <v>0.2</v>
      </c>
      <c r="L193" s="5">
        <f>INDEX(products!$A$1:$G$49,MATCH($D193,products!$A$1:$A$49,0),MATCH(orders!L$1,products!$A$1:$G$1,0))</f>
        <v>3.8849999999999998</v>
      </c>
      <c r="M193" s="5">
        <f t="shared" si="4"/>
        <v>19.424999999999997</v>
      </c>
      <c r="N193" t="str">
        <f>IF(I193="Rob","Robusta",IF(I193="Exc","Excelsa",IF(I193="Ara","Arabica",IF(I193="Lib","Liberica",""))))</f>
        <v>Liberica</v>
      </c>
      <c r="O193" t="str">
        <f t="shared" si="5"/>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INDEX(products!$A$1:$G$49,MATCH($D194,products!$A$1:$A$49,0),MATCH(orders!I$1,products!$A$1:$G$1,0))</f>
        <v>Exc</v>
      </c>
      <c r="J194" t="str">
        <f>INDEX(products!$A$1:$G$49,MATCH($D194,products!$A$1:$A$49,0),MATCH(orders!J$1,products!$A$1:$G$1,0))</f>
        <v>D</v>
      </c>
      <c r="K194" s="4">
        <f>INDEX(products!$A$1:$G$49,MATCH($D194,products!$A$1:$A$49,0),MATCH(orders!K$1,products!$A$1:$G$1,0))</f>
        <v>1</v>
      </c>
      <c r="L194" s="5">
        <f>INDEX(products!$A$1:$G$49,MATCH($D194,products!$A$1:$A$49,0),MATCH(orders!L$1,products!$A$1:$G$1,0))</f>
        <v>12.15</v>
      </c>
      <c r="M194" s="5">
        <f t="shared" si="4"/>
        <v>72.900000000000006</v>
      </c>
      <c r="N194" t="str">
        <f>IF(I194="Rob","Robusta",IF(I194="Exc","Excelsa",IF(I194="Ara","Arabica",IF(I194="Lib","Liberica",""))))</f>
        <v>Excelsa</v>
      </c>
      <c r="O194" t="str">
        <f t="shared" si="5"/>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INDEX(products!$A$1:$G$49,MATCH($D195,products!$A$1:$A$49,0),MATCH(orders!I$1,products!$A$1:$G$1,0))</f>
        <v>Exc</v>
      </c>
      <c r="J195" t="str">
        <f>INDEX(products!$A$1:$G$49,MATCH($D195,products!$A$1:$A$49,0),MATCH(orders!J$1,products!$A$1:$G$1,0))</f>
        <v>L</v>
      </c>
      <c r="K195" s="4">
        <f>INDEX(products!$A$1:$G$49,MATCH($D195,products!$A$1:$A$49,0),MATCH(orders!K$1,products!$A$1:$G$1,0))</f>
        <v>1</v>
      </c>
      <c r="L195" s="5">
        <f>INDEX(products!$A$1:$G$49,MATCH($D195,products!$A$1:$A$49,0),MATCH(orders!L$1,products!$A$1:$G$1,0))</f>
        <v>14.85</v>
      </c>
      <c r="M195" s="5">
        <f t="shared" ref="M195:M258" si="6">L195*E195</f>
        <v>44.55</v>
      </c>
      <c r="N195" t="str">
        <f>IF(I195="Rob","Robusta",IF(I195="Exc","Excelsa",IF(I195="Ara","Arabica",IF(I195="Lib","Liberica",""))))</f>
        <v>Excelsa</v>
      </c>
      <c r="O195" t="str">
        <f t="shared" ref="O195:O258" si="7">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INDEX(products!$A$1:$G$49,MATCH($D196,products!$A$1:$A$49,0),MATCH(orders!I$1,products!$A$1:$G$1,0))</f>
        <v>Exc</v>
      </c>
      <c r="J196" t="str">
        <f>INDEX(products!$A$1:$G$49,MATCH($D196,products!$A$1:$A$49,0),MATCH(orders!J$1,products!$A$1:$G$1,0))</f>
        <v>D</v>
      </c>
      <c r="K196" s="4">
        <f>INDEX(products!$A$1:$G$49,MATCH($D196,products!$A$1:$A$49,0),MATCH(orders!K$1,products!$A$1:$G$1,0))</f>
        <v>0.5</v>
      </c>
      <c r="L196" s="5">
        <f>INDEX(products!$A$1:$G$49,MATCH($D196,products!$A$1:$A$49,0),MATCH(orders!L$1,products!$A$1:$G$1,0))</f>
        <v>7.29</v>
      </c>
      <c r="M196" s="5">
        <f t="shared" si="6"/>
        <v>36.450000000000003</v>
      </c>
      <c r="N196" t="str">
        <f>IF(I196="Rob","Robusta",IF(I196="Exc","Excelsa",IF(I196="Ara","Arabica",IF(I196="Lib","Liberica",""))))</f>
        <v>Excelsa</v>
      </c>
      <c r="O196" t="str">
        <f t="shared" si="7"/>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INDEX(products!$A$1:$G$49,MATCH($D197,products!$A$1:$A$49,0),MATCH(orders!I$1,products!$A$1:$G$1,0))</f>
        <v>Ara</v>
      </c>
      <c r="J197" t="str">
        <f>INDEX(products!$A$1:$G$49,MATCH($D197,products!$A$1:$A$49,0),MATCH(orders!J$1,products!$A$1:$G$1,0))</f>
        <v>L</v>
      </c>
      <c r="K197" s="4">
        <f>INDEX(products!$A$1:$G$49,MATCH($D197,products!$A$1:$A$49,0),MATCH(orders!K$1,products!$A$1:$G$1,0))</f>
        <v>1</v>
      </c>
      <c r="L197" s="5">
        <f>INDEX(products!$A$1:$G$49,MATCH($D197,products!$A$1:$A$49,0),MATCH(orders!L$1,products!$A$1:$G$1,0))</f>
        <v>12.95</v>
      </c>
      <c r="M197" s="5">
        <f t="shared" si="6"/>
        <v>38.849999999999994</v>
      </c>
      <c r="N197" t="str">
        <f>IF(I197="Rob","Robusta",IF(I197="Exc","Excelsa",IF(I197="Ara","Arabica",IF(I197="Lib","Liberica",""))))</f>
        <v>Arabica</v>
      </c>
      <c r="O197" t="str">
        <f t="shared" si="7"/>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INDEX(products!$A$1:$G$49,MATCH($D198,products!$A$1:$A$49,0),MATCH(orders!I$1,products!$A$1:$G$1,0))</f>
        <v>Exc</v>
      </c>
      <c r="J198" t="str">
        <f>INDEX(products!$A$1:$G$49,MATCH($D198,products!$A$1:$A$49,0),MATCH(orders!J$1,products!$A$1:$G$1,0))</f>
        <v>L</v>
      </c>
      <c r="K198" s="4">
        <f>INDEX(products!$A$1:$G$49,MATCH($D198,products!$A$1:$A$49,0),MATCH(orders!K$1,products!$A$1:$G$1,0))</f>
        <v>0.5</v>
      </c>
      <c r="L198" s="5">
        <f>INDEX(products!$A$1:$G$49,MATCH($D198,products!$A$1:$A$49,0),MATCH(orders!L$1,products!$A$1:$G$1,0))</f>
        <v>8.91</v>
      </c>
      <c r="M198" s="5">
        <f t="shared" si="6"/>
        <v>53.46</v>
      </c>
      <c r="N198" t="str">
        <f>IF(I198="Rob","Robusta",IF(I198="Exc","Excelsa",IF(I198="Ara","Arabica",IF(I198="Lib","Liberica",""))))</f>
        <v>Excelsa</v>
      </c>
      <c r="O198" t="str">
        <f t="shared" si="7"/>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INDEX(products!$A$1:$G$49,MATCH($D199,products!$A$1:$A$49,0),MATCH(orders!I$1,products!$A$1:$G$1,0))</f>
        <v>Lib</v>
      </c>
      <c r="J199" t="str">
        <f>INDEX(products!$A$1:$G$49,MATCH($D199,products!$A$1:$A$49,0),MATCH(orders!J$1,products!$A$1:$G$1,0))</f>
        <v>D</v>
      </c>
      <c r="K199" s="4">
        <f>INDEX(products!$A$1:$G$49,MATCH($D199,products!$A$1:$A$49,0),MATCH(orders!K$1,products!$A$1:$G$1,0))</f>
        <v>2.5</v>
      </c>
      <c r="L199" s="5">
        <f>INDEX(products!$A$1:$G$49,MATCH($D199,products!$A$1:$A$49,0),MATCH(orders!L$1,products!$A$1:$G$1,0))</f>
        <v>29.784999999999997</v>
      </c>
      <c r="M199" s="5">
        <f t="shared" si="6"/>
        <v>59.569999999999993</v>
      </c>
      <c r="N199" t="str">
        <f>IF(I199="Rob","Robusta",IF(I199="Exc","Excelsa",IF(I199="Ara","Arabica",IF(I199="Lib","Liberica",""))))</f>
        <v>Liberica</v>
      </c>
      <c r="O199" t="str">
        <f t="shared" si="7"/>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INDEX(products!$A$1:$G$49,MATCH($D200,products!$A$1:$A$49,0),MATCH(orders!I$1,products!$A$1:$G$1,0))</f>
        <v>Lib</v>
      </c>
      <c r="J200" t="str">
        <f>INDEX(products!$A$1:$G$49,MATCH($D200,products!$A$1:$A$49,0),MATCH(orders!J$1,products!$A$1:$G$1,0))</f>
        <v>D</v>
      </c>
      <c r="K200" s="4">
        <f>INDEX(products!$A$1:$G$49,MATCH($D200,products!$A$1:$A$49,0),MATCH(orders!K$1,products!$A$1:$G$1,0))</f>
        <v>2.5</v>
      </c>
      <c r="L200" s="5">
        <f>INDEX(products!$A$1:$G$49,MATCH($D200,products!$A$1:$A$49,0),MATCH(orders!L$1,products!$A$1:$G$1,0))</f>
        <v>29.784999999999997</v>
      </c>
      <c r="M200" s="5">
        <f t="shared" si="6"/>
        <v>89.35499999999999</v>
      </c>
      <c r="N200" t="str">
        <f>IF(I200="Rob","Robusta",IF(I200="Exc","Excelsa",IF(I200="Ara","Arabica",IF(I200="Lib","Liberica",""))))</f>
        <v>Liberica</v>
      </c>
      <c r="O200" t="str">
        <f t="shared" si="7"/>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INDEX(products!$A$1:$G$49,MATCH($D201,products!$A$1:$A$49,0),MATCH(orders!I$1,products!$A$1:$G$1,0))</f>
        <v>Lib</v>
      </c>
      <c r="J201" t="str">
        <f>INDEX(products!$A$1:$G$49,MATCH($D201,products!$A$1:$A$49,0),MATCH(orders!J$1,products!$A$1:$G$1,0))</f>
        <v>L</v>
      </c>
      <c r="K201" s="4">
        <f>INDEX(products!$A$1:$G$49,MATCH($D201,products!$A$1:$A$49,0),MATCH(orders!K$1,products!$A$1:$G$1,0))</f>
        <v>0.5</v>
      </c>
      <c r="L201" s="5">
        <f>INDEX(products!$A$1:$G$49,MATCH($D201,products!$A$1:$A$49,0),MATCH(orders!L$1,products!$A$1:$G$1,0))</f>
        <v>9.51</v>
      </c>
      <c r="M201" s="5">
        <f t="shared" si="6"/>
        <v>38.04</v>
      </c>
      <c r="N201" t="str">
        <f>IF(I201="Rob","Robusta",IF(I201="Exc","Excelsa",IF(I201="Ara","Arabica",IF(I201="Lib","Liberica",""))))</f>
        <v>Liberica</v>
      </c>
      <c r="O201" t="str">
        <f t="shared" si="7"/>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INDEX(products!$A$1:$G$49,MATCH($D202,products!$A$1:$A$49,0),MATCH(orders!I$1,products!$A$1:$G$1,0))</f>
        <v>Exc</v>
      </c>
      <c r="J202" t="str">
        <f>INDEX(products!$A$1:$G$49,MATCH($D202,products!$A$1:$A$49,0),MATCH(orders!J$1,products!$A$1:$G$1,0))</f>
        <v>M</v>
      </c>
      <c r="K202" s="4">
        <f>INDEX(products!$A$1:$G$49,MATCH($D202,products!$A$1:$A$49,0),MATCH(orders!K$1,products!$A$1:$G$1,0))</f>
        <v>1</v>
      </c>
      <c r="L202" s="5">
        <f>INDEX(products!$A$1:$G$49,MATCH($D202,products!$A$1:$A$49,0),MATCH(orders!L$1,products!$A$1:$G$1,0))</f>
        <v>13.75</v>
      </c>
      <c r="M202" s="5">
        <f t="shared" si="6"/>
        <v>41.25</v>
      </c>
      <c r="N202" t="str">
        <f>IF(I202="Rob","Robusta",IF(I202="Exc","Excelsa",IF(I202="Ara","Arabica",IF(I202="Lib","Liberica",""))))</f>
        <v>Excelsa</v>
      </c>
      <c r="O202" t="str">
        <f t="shared" si="7"/>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INDEX(products!$A$1:$G$49,MATCH($D203,products!$A$1:$A$49,0),MATCH(orders!I$1,products!$A$1:$G$1,0))</f>
        <v>Lib</v>
      </c>
      <c r="J203" t="str">
        <f>INDEX(products!$A$1:$G$49,MATCH($D203,products!$A$1:$A$49,0),MATCH(orders!J$1,products!$A$1:$G$1,0))</f>
        <v>L</v>
      </c>
      <c r="K203" s="4">
        <f>INDEX(products!$A$1:$G$49,MATCH($D203,products!$A$1:$A$49,0),MATCH(orders!K$1,products!$A$1:$G$1,0))</f>
        <v>0.5</v>
      </c>
      <c r="L203" s="5">
        <f>INDEX(products!$A$1:$G$49,MATCH($D203,products!$A$1:$A$49,0),MATCH(orders!L$1,products!$A$1:$G$1,0))</f>
        <v>9.51</v>
      </c>
      <c r="M203" s="5">
        <f t="shared" si="6"/>
        <v>57.06</v>
      </c>
      <c r="N203" t="str">
        <f>IF(I203="Rob","Robusta",IF(I203="Exc","Excelsa",IF(I203="Ara","Arabica",IF(I203="Lib","Liberica",""))))</f>
        <v>Liberica</v>
      </c>
      <c r="O203" t="str">
        <f t="shared" si="7"/>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INDEX(products!$A$1:$G$49,MATCH($D204,products!$A$1:$A$49,0),MATCH(orders!I$1,products!$A$1:$G$1,0))</f>
        <v>Lib</v>
      </c>
      <c r="J204" t="str">
        <f>INDEX(products!$A$1:$G$49,MATCH($D204,products!$A$1:$A$49,0),MATCH(orders!J$1,products!$A$1:$G$1,0))</f>
        <v>D</v>
      </c>
      <c r="K204" s="4">
        <f>INDEX(products!$A$1:$G$49,MATCH($D204,products!$A$1:$A$49,0),MATCH(orders!K$1,products!$A$1:$G$1,0))</f>
        <v>2.5</v>
      </c>
      <c r="L204" s="5">
        <f>INDEX(products!$A$1:$G$49,MATCH($D204,products!$A$1:$A$49,0),MATCH(orders!L$1,products!$A$1:$G$1,0))</f>
        <v>29.784999999999997</v>
      </c>
      <c r="M204" s="5">
        <f t="shared" si="6"/>
        <v>178.70999999999998</v>
      </c>
      <c r="N204" t="str">
        <f>IF(I204="Rob","Robusta",IF(I204="Exc","Excelsa",IF(I204="Ara","Arabica",IF(I204="Lib","Liberica",""))))</f>
        <v>Liberica</v>
      </c>
      <c r="O204" t="str">
        <f t="shared" si="7"/>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INDEX(products!$A$1:$G$49,MATCH($D205,products!$A$1:$A$49,0),MATCH(orders!I$1,products!$A$1:$G$1,0))</f>
        <v>Lib</v>
      </c>
      <c r="J205" t="str">
        <f>INDEX(products!$A$1:$G$49,MATCH($D205,products!$A$1:$A$49,0),MATCH(orders!J$1,products!$A$1:$G$1,0))</f>
        <v>L</v>
      </c>
      <c r="K205" s="4">
        <f>INDEX(products!$A$1:$G$49,MATCH($D205,products!$A$1:$A$49,0),MATCH(orders!K$1,products!$A$1:$G$1,0))</f>
        <v>0.2</v>
      </c>
      <c r="L205" s="5">
        <f>INDEX(products!$A$1:$G$49,MATCH($D205,products!$A$1:$A$49,0),MATCH(orders!L$1,products!$A$1:$G$1,0))</f>
        <v>4.7549999999999999</v>
      </c>
      <c r="M205" s="5">
        <f t="shared" si="6"/>
        <v>4.7549999999999999</v>
      </c>
      <c r="N205" t="str">
        <f>IF(I205="Rob","Robusta",IF(I205="Exc","Excelsa",IF(I205="Ara","Arabica",IF(I205="Lib","Liberica",""))))</f>
        <v>Liberica</v>
      </c>
      <c r="O205" t="str">
        <f t="shared" si="7"/>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INDEX(products!$A$1:$G$49,MATCH($D206,products!$A$1:$A$49,0),MATCH(orders!I$1,products!$A$1:$G$1,0))</f>
        <v>Exc</v>
      </c>
      <c r="J206" t="str">
        <f>INDEX(products!$A$1:$G$49,MATCH($D206,products!$A$1:$A$49,0),MATCH(orders!J$1,products!$A$1:$G$1,0))</f>
        <v>M</v>
      </c>
      <c r="K206" s="4">
        <f>INDEX(products!$A$1:$G$49,MATCH($D206,products!$A$1:$A$49,0),MATCH(orders!K$1,products!$A$1:$G$1,0))</f>
        <v>1</v>
      </c>
      <c r="L206" s="5">
        <f>INDEX(products!$A$1:$G$49,MATCH($D206,products!$A$1:$A$49,0),MATCH(orders!L$1,products!$A$1:$G$1,0))</f>
        <v>13.75</v>
      </c>
      <c r="M206" s="5">
        <f t="shared" si="6"/>
        <v>82.5</v>
      </c>
      <c r="N206" t="str">
        <f>IF(I206="Rob","Robusta",IF(I206="Exc","Excelsa",IF(I206="Ara","Arabica",IF(I206="Lib","Liberica",""))))</f>
        <v>Excelsa</v>
      </c>
      <c r="O206" t="str">
        <f t="shared" si="7"/>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INDEX(products!$A$1:$G$49,MATCH($D207,products!$A$1:$A$49,0),MATCH(orders!I$1,products!$A$1:$G$1,0))</f>
        <v>Rob</v>
      </c>
      <c r="J207" t="str">
        <f>INDEX(products!$A$1:$G$49,MATCH($D207,products!$A$1:$A$49,0),MATCH(orders!J$1,products!$A$1:$G$1,0))</f>
        <v>D</v>
      </c>
      <c r="K207" s="4">
        <f>INDEX(products!$A$1:$G$49,MATCH($D207,products!$A$1:$A$49,0),MATCH(orders!K$1,products!$A$1:$G$1,0))</f>
        <v>0.2</v>
      </c>
      <c r="L207" s="5">
        <f>INDEX(products!$A$1:$G$49,MATCH($D207,products!$A$1:$A$49,0),MATCH(orders!L$1,products!$A$1:$G$1,0))</f>
        <v>2.6849999999999996</v>
      </c>
      <c r="M207" s="5">
        <f t="shared" si="6"/>
        <v>8.0549999999999997</v>
      </c>
      <c r="N207" t="str">
        <f>IF(I207="Rob","Robusta",IF(I207="Exc","Excelsa",IF(I207="Ara","Arabica",IF(I207="Lib","Liberica",""))))</f>
        <v>Robusta</v>
      </c>
      <c r="O207" t="str">
        <f t="shared" si="7"/>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INDEX(products!$A$1:$G$49,MATCH($D208,products!$A$1:$A$49,0),MATCH(orders!I$1,products!$A$1:$G$1,0))</f>
        <v>Ara</v>
      </c>
      <c r="J208" t="str">
        <f>INDEX(products!$A$1:$G$49,MATCH($D208,products!$A$1:$A$49,0),MATCH(orders!J$1,products!$A$1:$G$1,0))</f>
        <v>M</v>
      </c>
      <c r="K208" s="4">
        <f>INDEX(products!$A$1:$G$49,MATCH($D208,products!$A$1:$A$49,0),MATCH(orders!K$1,products!$A$1:$G$1,0))</f>
        <v>1</v>
      </c>
      <c r="L208" s="5">
        <f>INDEX(products!$A$1:$G$49,MATCH($D208,products!$A$1:$A$49,0),MATCH(orders!L$1,products!$A$1:$G$1,0))</f>
        <v>11.25</v>
      </c>
      <c r="M208" s="5">
        <f t="shared" si="6"/>
        <v>22.5</v>
      </c>
      <c r="N208" t="str">
        <f>IF(I208="Rob","Robusta",IF(I208="Exc","Excelsa",IF(I208="Ara","Arabica",IF(I208="Lib","Liberica",""))))</f>
        <v>Arabica</v>
      </c>
      <c r="O208" t="str">
        <f t="shared" si="7"/>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INDEX(products!$A$1:$G$49,MATCH($D209,products!$A$1:$A$49,0),MATCH(orders!I$1,products!$A$1:$G$1,0))</f>
        <v>Ara</v>
      </c>
      <c r="J209" t="str">
        <f>INDEX(products!$A$1:$G$49,MATCH($D209,products!$A$1:$A$49,0),MATCH(orders!J$1,products!$A$1:$G$1,0))</f>
        <v>M</v>
      </c>
      <c r="K209" s="4">
        <f>INDEX(products!$A$1:$G$49,MATCH($D209,products!$A$1:$A$49,0),MATCH(orders!K$1,products!$A$1:$G$1,0))</f>
        <v>0.5</v>
      </c>
      <c r="L209" s="5">
        <f>INDEX(products!$A$1:$G$49,MATCH($D209,products!$A$1:$A$49,0),MATCH(orders!L$1,products!$A$1:$G$1,0))</f>
        <v>6.75</v>
      </c>
      <c r="M209" s="5">
        <f t="shared" si="6"/>
        <v>40.5</v>
      </c>
      <c r="N209" t="str">
        <f>IF(I209="Rob","Robusta",IF(I209="Exc","Excelsa",IF(I209="Ara","Arabica",IF(I209="Lib","Liberica",""))))</f>
        <v>Arabica</v>
      </c>
      <c r="O209" t="str">
        <f t="shared" si="7"/>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INDEX(products!$A$1:$G$49,MATCH($D210,products!$A$1:$A$49,0),MATCH(orders!I$1,products!$A$1:$G$1,0))</f>
        <v>Exc</v>
      </c>
      <c r="J210" t="str">
        <f>INDEX(products!$A$1:$G$49,MATCH($D210,products!$A$1:$A$49,0),MATCH(orders!J$1,products!$A$1:$G$1,0))</f>
        <v>D</v>
      </c>
      <c r="K210" s="4">
        <f>INDEX(products!$A$1:$G$49,MATCH($D210,products!$A$1:$A$49,0),MATCH(orders!K$1,products!$A$1:$G$1,0))</f>
        <v>0.5</v>
      </c>
      <c r="L210" s="5">
        <f>INDEX(products!$A$1:$G$49,MATCH($D210,products!$A$1:$A$49,0),MATCH(orders!L$1,products!$A$1:$G$1,0))</f>
        <v>7.29</v>
      </c>
      <c r="M210" s="5">
        <f t="shared" si="6"/>
        <v>29.16</v>
      </c>
      <c r="N210" t="str">
        <f>IF(I210="Rob","Robusta",IF(I210="Exc","Excelsa",IF(I210="Ara","Arabica",IF(I210="Lib","Liberica",""))))</f>
        <v>Excelsa</v>
      </c>
      <c r="O210" t="str">
        <f t="shared" si="7"/>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INDEX(products!$A$1:$G$49,MATCH($D211,products!$A$1:$A$49,0),MATCH(orders!I$1,products!$A$1:$G$1,0))</f>
        <v>Ara</v>
      </c>
      <c r="J211" t="str">
        <f>INDEX(products!$A$1:$G$49,MATCH($D211,products!$A$1:$A$49,0),MATCH(orders!J$1,products!$A$1:$G$1,0))</f>
        <v>M</v>
      </c>
      <c r="K211" s="4">
        <f>INDEX(products!$A$1:$G$49,MATCH($D211,products!$A$1:$A$49,0),MATCH(orders!K$1,products!$A$1:$G$1,0))</f>
        <v>0.5</v>
      </c>
      <c r="L211" s="5">
        <f>INDEX(products!$A$1:$G$49,MATCH($D211,products!$A$1:$A$49,0),MATCH(orders!L$1,products!$A$1:$G$1,0))</f>
        <v>6.75</v>
      </c>
      <c r="M211" s="5">
        <f t="shared" si="6"/>
        <v>6.75</v>
      </c>
      <c r="N211" t="str">
        <f>IF(I211="Rob","Robusta",IF(I211="Exc","Excelsa",IF(I211="Ara","Arabica",IF(I211="Lib","Liberica",""))))</f>
        <v>Arabica</v>
      </c>
      <c r="O211" t="str">
        <f t="shared" si="7"/>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INDEX(products!$A$1:$G$49,MATCH($D212,products!$A$1:$A$49,0),MATCH(orders!I$1,products!$A$1:$G$1,0))</f>
        <v>Lib</v>
      </c>
      <c r="J212" t="str">
        <f>INDEX(products!$A$1:$G$49,MATCH($D212,products!$A$1:$A$49,0),MATCH(orders!J$1,products!$A$1:$G$1,0))</f>
        <v>D</v>
      </c>
      <c r="K212" s="4">
        <f>INDEX(products!$A$1:$G$49,MATCH($D212,products!$A$1:$A$49,0),MATCH(orders!K$1,products!$A$1:$G$1,0))</f>
        <v>1</v>
      </c>
      <c r="L212" s="5">
        <f>INDEX(products!$A$1:$G$49,MATCH($D212,products!$A$1:$A$49,0),MATCH(orders!L$1,products!$A$1:$G$1,0))</f>
        <v>12.95</v>
      </c>
      <c r="M212" s="5">
        <f t="shared" si="6"/>
        <v>51.8</v>
      </c>
      <c r="N212" t="str">
        <f>IF(I212="Rob","Robusta",IF(I212="Exc","Excelsa",IF(I212="Ara","Arabica",IF(I212="Lib","Liberica",""))))</f>
        <v>Liberica</v>
      </c>
      <c r="O212" t="str">
        <f t="shared" si="7"/>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INDEX(products!$A$1:$G$49,MATCH($D213,products!$A$1:$A$49,0),MATCH(orders!I$1,products!$A$1:$G$1,0))</f>
        <v>Exc</v>
      </c>
      <c r="J213" t="str">
        <f>INDEX(products!$A$1:$G$49,MATCH($D213,products!$A$1:$A$49,0),MATCH(orders!J$1,products!$A$1:$G$1,0))</f>
        <v>L</v>
      </c>
      <c r="K213" s="4">
        <f>INDEX(products!$A$1:$G$49,MATCH($D213,products!$A$1:$A$49,0),MATCH(orders!K$1,products!$A$1:$G$1,0))</f>
        <v>0.5</v>
      </c>
      <c r="L213" s="5">
        <f>INDEX(products!$A$1:$G$49,MATCH($D213,products!$A$1:$A$49,0),MATCH(orders!L$1,products!$A$1:$G$1,0))</f>
        <v>8.91</v>
      </c>
      <c r="M213" s="5">
        <f t="shared" si="6"/>
        <v>53.46</v>
      </c>
      <c r="N213" t="str">
        <f>IF(I213="Rob","Robusta",IF(I213="Exc","Excelsa",IF(I213="Ara","Arabica",IF(I213="Lib","Liberica",""))))</f>
        <v>Excelsa</v>
      </c>
      <c r="O213" t="str">
        <f t="shared" si="7"/>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INDEX(products!$A$1:$G$49,MATCH($D214,products!$A$1:$A$49,0),MATCH(orders!I$1,products!$A$1:$G$1,0))</f>
        <v>Exc</v>
      </c>
      <c r="J214" t="str">
        <f>INDEX(products!$A$1:$G$49,MATCH($D214,products!$A$1:$A$49,0),MATCH(orders!J$1,products!$A$1:$G$1,0))</f>
        <v>D</v>
      </c>
      <c r="K214" s="4">
        <f>INDEX(products!$A$1:$G$49,MATCH($D214,products!$A$1:$A$49,0),MATCH(orders!K$1,products!$A$1:$G$1,0))</f>
        <v>0.2</v>
      </c>
      <c r="L214" s="5">
        <f>INDEX(products!$A$1:$G$49,MATCH($D214,products!$A$1:$A$49,0),MATCH(orders!L$1,products!$A$1:$G$1,0))</f>
        <v>3.645</v>
      </c>
      <c r="M214" s="5">
        <f t="shared" si="6"/>
        <v>14.58</v>
      </c>
      <c r="N214" t="str">
        <f>IF(I214="Rob","Robusta",IF(I214="Exc","Excelsa",IF(I214="Ara","Arabica",IF(I214="Lib","Liberica",""))))</f>
        <v>Excelsa</v>
      </c>
      <c r="O214" t="str">
        <f t="shared" si="7"/>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INDEX(products!$A$1:$G$49,MATCH($D215,products!$A$1:$A$49,0),MATCH(orders!I$1,products!$A$1:$G$1,0))</f>
        <v>Rob</v>
      </c>
      <c r="J215" t="str">
        <f>INDEX(products!$A$1:$G$49,MATCH($D215,products!$A$1:$A$49,0),MATCH(orders!J$1,products!$A$1:$G$1,0))</f>
        <v>D</v>
      </c>
      <c r="K215" s="4">
        <f>INDEX(products!$A$1:$G$49,MATCH($D215,products!$A$1:$A$49,0),MATCH(orders!K$1,products!$A$1:$G$1,0))</f>
        <v>2.5</v>
      </c>
      <c r="L215" s="5">
        <f>INDEX(products!$A$1:$G$49,MATCH($D215,products!$A$1:$A$49,0),MATCH(orders!L$1,products!$A$1:$G$1,0))</f>
        <v>20.584999999999997</v>
      </c>
      <c r="M215" s="5">
        <f t="shared" si="6"/>
        <v>20.584999999999997</v>
      </c>
      <c r="N215" t="str">
        <f>IF(I215="Rob","Robusta",IF(I215="Exc","Excelsa",IF(I215="Ara","Arabica",IF(I215="Lib","Liberica",""))))</f>
        <v>Robusta</v>
      </c>
      <c r="O215" t="str">
        <f t="shared" si="7"/>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INDEX(products!$A$1:$G$49,MATCH($D216,products!$A$1:$A$49,0),MATCH(orders!I$1,products!$A$1:$G$1,0))</f>
        <v>Lib</v>
      </c>
      <c r="J216" t="str">
        <f>INDEX(products!$A$1:$G$49,MATCH($D216,products!$A$1:$A$49,0),MATCH(orders!J$1,products!$A$1:$G$1,0))</f>
        <v>L</v>
      </c>
      <c r="K216" s="4">
        <f>INDEX(products!$A$1:$G$49,MATCH($D216,products!$A$1:$A$49,0),MATCH(orders!K$1,products!$A$1:$G$1,0))</f>
        <v>1</v>
      </c>
      <c r="L216" s="5">
        <f>INDEX(products!$A$1:$G$49,MATCH($D216,products!$A$1:$A$49,0),MATCH(orders!L$1,products!$A$1:$G$1,0))</f>
        <v>15.85</v>
      </c>
      <c r="M216" s="5">
        <f t="shared" si="6"/>
        <v>31.7</v>
      </c>
      <c r="N216" t="str">
        <f>IF(I216="Rob","Robusta",IF(I216="Exc","Excelsa",IF(I216="Ara","Arabica",IF(I216="Lib","Liberica",""))))</f>
        <v>Liberica</v>
      </c>
      <c r="O216" t="str">
        <f t="shared" si="7"/>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INDEX(products!$A$1:$G$49,MATCH($D217,products!$A$1:$A$49,0),MATCH(orders!I$1,products!$A$1:$G$1,0))</f>
        <v>Lib</v>
      </c>
      <c r="J217" t="str">
        <f>INDEX(products!$A$1:$G$49,MATCH($D217,products!$A$1:$A$49,0),MATCH(orders!J$1,products!$A$1:$G$1,0))</f>
        <v>D</v>
      </c>
      <c r="K217" s="4">
        <f>INDEX(products!$A$1:$G$49,MATCH($D217,products!$A$1:$A$49,0),MATCH(orders!K$1,products!$A$1:$G$1,0))</f>
        <v>0.2</v>
      </c>
      <c r="L217" s="5">
        <f>INDEX(products!$A$1:$G$49,MATCH($D217,products!$A$1:$A$49,0),MATCH(orders!L$1,products!$A$1:$G$1,0))</f>
        <v>3.8849999999999998</v>
      </c>
      <c r="M217" s="5">
        <f t="shared" si="6"/>
        <v>23.31</v>
      </c>
      <c r="N217" t="str">
        <f>IF(I217="Rob","Robusta",IF(I217="Exc","Excelsa",IF(I217="Ara","Arabica",IF(I217="Lib","Liberica",""))))</f>
        <v>Liberica</v>
      </c>
      <c r="O217" t="str">
        <f t="shared" si="7"/>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INDEX(products!$A$1:$G$49,MATCH($D218,products!$A$1:$A$49,0),MATCH(orders!I$1,products!$A$1:$G$1,0))</f>
        <v>Lib</v>
      </c>
      <c r="J218" t="str">
        <f>INDEX(products!$A$1:$G$49,MATCH($D218,products!$A$1:$A$49,0),MATCH(orders!J$1,products!$A$1:$G$1,0))</f>
        <v>M</v>
      </c>
      <c r="K218" s="4">
        <f>INDEX(products!$A$1:$G$49,MATCH($D218,products!$A$1:$A$49,0),MATCH(orders!K$1,products!$A$1:$G$1,0))</f>
        <v>1</v>
      </c>
      <c r="L218" s="5">
        <f>INDEX(products!$A$1:$G$49,MATCH($D218,products!$A$1:$A$49,0),MATCH(orders!L$1,products!$A$1:$G$1,0))</f>
        <v>14.55</v>
      </c>
      <c r="M218" s="5">
        <f t="shared" si="6"/>
        <v>58.2</v>
      </c>
      <c r="N218" t="str">
        <f>IF(I218="Rob","Robusta",IF(I218="Exc","Excelsa",IF(I218="Ara","Arabica",IF(I218="Lib","Liberica",""))))</f>
        <v>Liberica</v>
      </c>
      <c r="O218" t="str">
        <f t="shared" si="7"/>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INDEX(products!$A$1:$G$49,MATCH($D219,products!$A$1:$A$49,0),MATCH(orders!I$1,products!$A$1:$G$1,0))</f>
        <v>Exc</v>
      </c>
      <c r="J219" t="str">
        <f>INDEX(products!$A$1:$G$49,MATCH($D219,products!$A$1:$A$49,0),MATCH(orders!J$1,products!$A$1:$G$1,0))</f>
        <v>L</v>
      </c>
      <c r="K219" s="4">
        <f>INDEX(products!$A$1:$G$49,MATCH($D219,products!$A$1:$A$49,0),MATCH(orders!K$1,products!$A$1:$G$1,0))</f>
        <v>0.5</v>
      </c>
      <c r="L219" s="5">
        <f>INDEX(products!$A$1:$G$49,MATCH($D219,products!$A$1:$A$49,0),MATCH(orders!L$1,products!$A$1:$G$1,0))</f>
        <v>8.91</v>
      </c>
      <c r="M219" s="5">
        <f t="shared" si="6"/>
        <v>35.64</v>
      </c>
      <c r="N219" t="str">
        <f>IF(I219="Rob","Robusta",IF(I219="Exc","Excelsa",IF(I219="Ara","Arabica",IF(I219="Lib","Liberica",""))))</f>
        <v>Excelsa</v>
      </c>
      <c r="O219" t="str">
        <f t="shared" si="7"/>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INDEX(products!$A$1:$G$49,MATCH($D220,products!$A$1:$A$49,0),MATCH(orders!I$1,products!$A$1:$G$1,0))</f>
        <v>Ara</v>
      </c>
      <c r="J220" t="str">
        <f>INDEX(products!$A$1:$G$49,MATCH($D220,products!$A$1:$A$49,0),MATCH(orders!J$1,products!$A$1:$G$1,0))</f>
        <v>M</v>
      </c>
      <c r="K220" s="4">
        <f>INDEX(products!$A$1:$G$49,MATCH($D220,products!$A$1:$A$49,0),MATCH(orders!K$1,products!$A$1:$G$1,0))</f>
        <v>1</v>
      </c>
      <c r="L220" s="5">
        <f>INDEX(products!$A$1:$G$49,MATCH($D220,products!$A$1:$A$49,0),MATCH(orders!L$1,products!$A$1:$G$1,0))</f>
        <v>11.25</v>
      </c>
      <c r="M220" s="5">
        <f t="shared" si="6"/>
        <v>56.25</v>
      </c>
      <c r="N220" t="str">
        <f>IF(I220="Rob","Robusta",IF(I220="Exc","Excelsa",IF(I220="Ara","Arabica",IF(I220="Lib","Liberica",""))))</f>
        <v>Arabica</v>
      </c>
      <c r="O220" t="str">
        <f t="shared" si="7"/>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INDEX(products!$A$1:$G$49,MATCH($D221,products!$A$1:$A$49,0),MATCH(orders!I$1,products!$A$1:$G$1,0))</f>
        <v>Rob</v>
      </c>
      <c r="J221" t="str">
        <f>INDEX(products!$A$1:$G$49,MATCH($D221,products!$A$1:$A$49,0),MATCH(orders!J$1,products!$A$1:$G$1,0))</f>
        <v>L</v>
      </c>
      <c r="K221" s="4">
        <f>INDEX(products!$A$1:$G$49,MATCH($D221,products!$A$1:$A$49,0),MATCH(orders!K$1,products!$A$1:$G$1,0))</f>
        <v>0.2</v>
      </c>
      <c r="L221" s="5">
        <f>INDEX(products!$A$1:$G$49,MATCH($D221,products!$A$1:$A$49,0),MATCH(orders!L$1,products!$A$1:$G$1,0))</f>
        <v>3.5849999999999995</v>
      </c>
      <c r="M221" s="5">
        <f t="shared" si="6"/>
        <v>10.754999999999999</v>
      </c>
      <c r="N221" t="str">
        <f>IF(I221="Rob","Robusta",IF(I221="Exc","Excelsa",IF(I221="Ara","Arabica",IF(I221="Lib","Liberica",""))))</f>
        <v>Robusta</v>
      </c>
      <c r="O221" t="str">
        <f t="shared" si="7"/>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INDEX(products!$A$1:$G$49,MATCH($D222,products!$A$1:$A$49,0),MATCH(orders!I$1,products!$A$1:$G$1,0))</f>
        <v>Rob</v>
      </c>
      <c r="J222" t="str">
        <f>INDEX(products!$A$1:$G$49,MATCH($D222,products!$A$1:$A$49,0),MATCH(orders!J$1,products!$A$1:$G$1,0))</f>
        <v>M</v>
      </c>
      <c r="K222" s="4">
        <f>INDEX(products!$A$1:$G$49,MATCH($D222,products!$A$1:$A$49,0),MATCH(orders!K$1,products!$A$1:$G$1,0))</f>
        <v>0.2</v>
      </c>
      <c r="L222" s="5">
        <f>INDEX(products!$A$1:$G$49,MATCH($D222,products!$A$1:$A$49,0),MATCH(orders!L$1,products!$A$1:$G$1,0))</f>
        <v>2.9849999999999999</v>
      </c>
      <c r="M222" s="5">
        <f t="shared" si="6"/>
        <v>14.924999999999999</v>
      </c>
      <c r="N222" t="str">
        <f>IF(I222="Rob","Robusta",IF(I222="Exc","Excelsa",IF(I222="Ara","Arabica",IF(I222="Lib","Liberica",""))))</f>
        <v>Robusta</v>
      </c>
      <c r="O222" t="str">
        <f t="shared" si="7"/>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INDEX(products!$A$1:$G$49,MATCH($D223,products!$A$1:$A$49,0),MATCH(orders!I$1,products!$A$1:$G$1,0))</f>
        <v>Ara</v>
      </c>
      <c r="J223" t="str">
        <f>INDEX(products!$A$1:$G$49,MATCH($D223,products!$A$1:$A$49,0),MATCH(orders!J$1,products!$A$1:$G$1,0))</f>
        <v>L</v>
      </c>
      <c r="K223" s="4">
        <f>INDEX(products!$A$1:$G$49,MATCH($D223,products!$A$1:$A$49,0),MATCH(orders!K$1,products!$A$1:$G$1,0))</f>
        <v>1</v>
      </c>
      <c r="L223" s="5">
        <f>INDEX(products!$A$1:$G$49,MATCH($D223,products!$A$1:$A$49,0),MATCH(orders!L$1,products!$A$1:$G$1,0))</f>
        <v>12.95</v>
      </c>
      <c r="M223" s="5">
        <f t="shared" si="6"/>
        <v>77.699999999999989</v>
      </c>
      <c r="N223" t="str">
        <f>IF(I223="Rob","Robusta",IF(I223="Exc","Excelsa",IF(I223="Ara","Arabica",IF(I223="Lib","Liberica",""))))</f>
        <v>Arabica</v>
      </c>
      <c r="O223" t="str">
        <f t="shared" si="7"/>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INDEX(products!$A$1:$G$49,MATCH($D224,products!$A$1:$A$49,0),MATCH(orders!I$1,products!$A$1:$G$1,0))</f>
        <v>Lib</v>
      </c>
      <c r="J224" t="str">
        <f>INDEX(products!$A$1:$G$49,MATCH($D224,products!$A$1:$A$49,0),MATCH(orders!J$1,products!$A$1:$G$1,0))</f>
        <v>D</v>
      </c>
      <c r="K224" s="4">
        <f>INDEX(products!$A$1:$G$49,MATCH($D224,products!$A$1:$A$49,0),MATCH(orders!K$1,products!$A$1:$G$1,0))</f>
        <v>0.5</v>
      </c>
      <c r="L224" s="5">
        <f>INDEX(products!$A$1:$G$49,MATCH($D224,products!$A$1:$A$49,0),MATCH(orders!L$1,products!$A$1:$G$1,0))</f>
        <v>7.77</v>
      </c>
      <c r="M224" s="5">
        <f t="shared" si="6"/>
        <v>23.31</v>
      </c>
      <c r="N224" t="str">
        <f>IF(I224="Rob","Robusta",IF(I224="Exc","Excelsa",IF(I224="Ara","Arabica",IF(I224="Lib","Liberica",""))))</f>
        <v>Liberica</v>
      </c>
      <c r="O224" t="str">
        <f t="shared" si="7"/>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INDEX(products!$A$1:$G$49,MATCH($D225,products!$A$1:$A$49,0),MATCH(orders!I$1,products!$A$1:$G$1,0))</f>
        <v>Exc</v>
      </c>
      <c r="J225" t="str">
        <f>INDEX(products!$A$1:$G$49,MATCH($D225,products!$A$1:$A$49,0),MATCH(orders!J$1,products!$A$1:$G$1,0))</f>
        <v>L</v>
      </c>
      <c r="K225" s="4">
        <f>INDEX(products!$A$1:$G$49,MATCH($D225,products!$A$1:$A$49,0),MATCH(orders!K$1,products!$A$1:$G$1,0))</f>
        <v>1</v>
      </c>
      <c r="L225" s="5">
        <f>INDEX(products!$A$1:$G$49,MATCH($D225,products!$A$1:$A$49,0),MATCH(orders!L$1,products!$A$1:$G$1,0))</f>
        <v>14.85</v>
      </c>
      <c r="M225" s="5">
        <f t="shared" si="6"/>
        <v>59.4</v>
      </c>
      <c r="N225" t="str">
        <f>IF(I225="Rob","Robusta",IF(I225="Exc","Excelsa",IF(I225="Ara","Arabica",IF(I225="Lib","Liberica",""))))</f>
        <v>Excelsa</v>
      </c>
      <c r="O225" t="str">
        <f t="shared" si="7"/>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INDEX(products!$A$1:$G$49,MATCH($D226,products!$A$1:$A$49,0),MATCH(orders!I$1,products!$A$1:$G$1,0))</f>
        <v>Lib</v>
      </c>
      <c r="J226" t="str">
        <f>INDEX(products!$A$1:$G$49,MATCH($D226,products!$A$1:$A$49,0),MATCH(orders!J$1,products!$A$1:$G$1,0))</f>
        <v>D</v>
      </c>
      <c r="K226" s="4">
        <f>INDEX(products!$A$1:$G$49,MATCH($D226,products!$A$1:$A$49,0),MATCH(orders!K$1,products!$A$1:$G$1,0))</f>
        <v>2.5</v>
      </c>
      <c r="L226" s="5">
        <f>INDEX(products!$A$1:$G$49,MATCH($D226,products!$A$1:$A$49,0),MATCH(orders!L$1,products!$A$1:$G$1,0))</f>
        <v>29.784999999999997</v>
      </c>
      <c r="M226" s="5">
        <f t="shared" si="6"/>
        <v>119.13999999999999</v>
      </c>
      <c r="N226" t="str">
        <f>IF(I226="Rob","Robusta",IF(I226="Exc","Excelsa",IF(I226="Ara","Arabica",IF(I226="Lib","Liberica",""))))</f>
        <v>Liberica</v>
      </c>
      <c r="O226" t="str">
        <f t="shared" si="7"/>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INDEX(products!$A$1:$G$49,MATCH($D227,products!$A$1:$A$49,0),MATCH(orders!I$1,products!$A$1:$G$1,0))</f>
        <v>Rob</v>
      </c>
      <c r="J227" t="str">
        <f>INDEX(products!$A$1:$G$49,MATCH($D227,products!$A$1:$A$49,0),MATCH(orders!J$1,products!$A$1:$G$1,0))</f>
        <v>L</v>
      </c>
      <c r="K227" s="4">
        <f>INDEX(products!$A$1:$G$49,MATCH($D227,products!$A$1:$A$49,0),MATCH(orders!K$1,products!$A$1:$G$1,0))</f>
        <v>0.2</v>
      </c>
      <c r="L227" s="5">
        <f>INDEX(products!$A$1:$G$49,MATCH($D227,products!$A$1:$A$49,0),MATCH(orders!L$1,products!$A$1:$G$1,0))</f>
        <v>3.5849999999999995</v>
      </c>
      <c r="M227" s="5">
        <f t="shared" si="6"/>
        <v>14.339999999999998</v>
      </c>
      <c r="N227" t="str">
        <f>IF(I227="Rob","Robusta",IF(I227="Exc","Excelsa",IF(I227="Ara","Arabica",IF(I227="Lib","Liberica",""))))</f>
        <v>Robusta</v>
      </c>
      <c r="O227" t="str">
        <f t="shared" si="7"/>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INDEX(products!$A$1:$G$49,MATCH($D228,products!$A$1:$A$49,0),MATCH(orders!I$1,products!$A$1:$G$1,0))</f>
        <v>Ara</v>
      </c>
      <c r="J228" t="str">
        <f>INDEX(products!$A$1:$G$49,MATCH($D228,products!$A$1:$A$49,0),MATCH(orders!J$1,products!$A$1:$G$1,0))</f>
        <v>M</v>
      </c>
      <c r="K228" s="4">
        <f>INDEX(products!$A$1:$G$49,MATCH($D228,products!$A$1:$A$49,0),MATCH(orders!K$1,products!$A$1:$G$1,0))</f>
        <v>2.5</v>
      </c>
      <c r="L228" s="5">
        <f>INDEX(products!$A$1:$G$49,MATCH($D228,products!$A$1:$A$49,0),MATCH(orders!L$1,products!$A$1:$G$1,0))</f>
        <v>25.874999999999996</v>
      </c>
      <c r="M228" s="5">
        <f t="shared" si="6"/>
        <v>129.37499999999997</v>
      </c>
      <c r="N228" t="str">
        <f>IF(I228="Rob","Robusta",IF(I228="Exc","Excelsa",IF(I228="Ara","Arabica",IF(I228="Lib","Liberica",""))))</f>
        <v>Arabica</v>
      </c>
      <c r="O228" t="str">
        <f t="shared" si="7"/>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INDEX(products!$A$1:$G$49,MATCH($D229,products!$A$1:$A$49,0),MATCH(orders!I$1,products!$A$1:$G$1,0))</f>
        <v>Rob</v>
      </c>
      <c r="J229" t="str">
        <f>INDEX(products!$A$1:$G$49,MATCH($D229,products!$A$1:$A$49,0),MATCH(orders!J$1,products!$A$1:$G$1,0))</f>
        <v>D</v>
      </c>
      <c r="K229" s="4">
        <f>INDEX(products!$A$1:$G$49,MATCH($D229,products!$A$1:$A$49,0),MATCH(orders!K$1,products!$A$1:$G$1,0))</f>
        <v>0.2</v>
      </c>
      <c r="L229" s="5">
        <f>INDEX(products!$A$1:$G$49,MATCH($D229,products!$A$1:$A$49,0),MATCH(orders!L$1,products!$A$1:$G$1,0))</f>
        <v>2.6849999999999996</v>
      </c>
      <c r="M229" s="5">
        <f t="shared" si="6"/>
        <v>16.11</v>
      </c>
      <c r="N229" t="str">
        <f>IF(I229="Rob","Robusta",IF(I229="Exc","Excelsa",IF(I229="Ara","Arabica",IF(I229="Lib","Liberica",""))))</f>
        <v>Robusta</v>
      </c>
      <c r="O229" t="str">
        <f t="shared" si="7"/>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INDEX(products!$A$1:$G$49,MATCH($D230,products!$A$1:$A$49,0),MATCH(orders!I$1,products!$A$1:$G$1,0))</f>
        <v>Rob</v>
      </c>
      <c r="J230" t="str">
        <f>INDEX(products!$A$1:$G$49,MATCH($D230,products!$A$1:$A$49,0),MATCH(orders!J$1,products!$A$1:$G$1,0))</f>
        <v>L</v>
      </c>
      <c r="K230" s="4">
        <f>INDEX(products!$A$1:$G$49,MATCH($D230,products!$A$1:$A$49,0),MATCH(orders!K$1,products!$A$1:$G$1,0))</f>
        <v>0.2</v>
      </c>
      <c r="L230" s="5">
        <f>INDEX(products!$A$1:$G$49,MATCH($D230,products!$A$1:$A$49,0),MATCH(orders!L$1,products!$A$1:$G$1,0))</f>
        <v>3.5849999999999995</v>
      </c>
      <c r="M230" s="5">
        <f t="shared" si="6"/>
        <v>17.924999999999997</v>
      </c>
      <c r="N230" t="str">
        <f>IF(I230="Rob","Robusta",IF(I230="Exc","Excelsa",IF(I230="Ara","Arabica",IF(I230="Lib","Liberica",""))))</f>
        <v>Robusta</v>
      </c>
      <c r="O230" t="str">
        <f t="shared" si="7"/>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INDEX(products!$A$1:$G$49,MATCH($D231,products!$A$1:$A$49,0),MATCH(orders!I$1,products!$A$1:$G$1,0))</f>
        <v>Lib</v>
      </c>
      <c r="J231" t="str">
        <f>INDEX(products!$A$1:$G$49,MATCH($D231,products!$A$1:$A$49,0),MATCH(orders!J$1,products!$A$1:$G$1,0))</f>
        <v>M</v>
      </c>
      <c r="K231" s="4">
        <f>INDEX(products!$A$1:$G$49,MATCH($D231,products!$A$1:$A$49,0),MATCH(orders!K$1,products!$A$1:$G$1,0))</f>
        <v>0.2</v>
      </c>
      <c r="L231" s="5">
        <f>INDEX(products!$A$1:$G$49,MATCH($D231,products!$A$1:$A$49,0),MATCH(orders!L$1,products!$A$1:$G$1,0))</f>
        <v>4.3650000000000002</v>
      </c>
      <c r="M231" s="5">
        <f t="shared" si="6"/>
        <v>8.73</v>
      </c>
      <c r="N231" t="str">
        <f>IF(I231="Rob","Robusta",IF(I231="Exc","Excelsa",IF(I231="Ara","Arabica",IF(I231="Lib","Liberica",""))))</f>
        <v>Liberica</v>
      </c>
      <c r="O231" t="str">
        <f t="shared" si="7"/>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INDEX(products!$A$1:$G$49,MATCH($D232,products!$A$1:$A$49,0),MATCH(orders!I$1,products!$A$1:$G$1,0))</f>
        <v>Ara</v>
      </c>
      <c r="J232" t="str">
        <f>INDEX(products!$A$1:$G$49,MATCH($D232,products!$A$1:$A$49,0),MATCH(orders!J$1,products!$A$1:$G$1,0))</f>
        <v>M</v>
      </c>
      <c r="K232" s="4">
        <f>INDEX(products!$A$1:$G$49,MATCH($D232,products!$A$1:$A$49,0),MATCH(orders!K$1,products!$A$1:$G$1,0))</f>
        <v>2.5</v>
      </c>
      <c r="L232" s="5">
        <f>INDEX(products!$A$1:$G$49,MATCH($D232,products!$A$1:$A$49,0),MATCH(orders!L$1,products!$A$1:$G$1,0))</f>
        <v>25.874999999999996</v>
      </c>
      <c r="M232" s="5">
        <f t="shared" si="6"/>
        <v>51.749999999999993</v>
      </c>
      <c r="N232" t="str">
        <f>IF(I232="Rob","Robusta",IF(I232="Exc","Excelsa",IF(I232="Ara","Arabica",IF(I232="Lib","Liberica",""))))</f>
        <v>Arabica</v>
      </c>
      <c r="O232" t="str">
        <f t="shared" si="7"/>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INDEX(products!$A$1:$G$49,MATCH($D233,products!$A$1:$A$49,0),MATCH(orders!I$1,products!$A$1:$G$1,0))</f>
        <v>Lib</v>
      </c>
      <c r="J233" t="str">
        <f>INDEX(products!$A$1:$G$49,MATCH($D233,products!$A$1:$A$49,0),MATCH(orders!J$1,products!$A$1:$G$1,0))</f>
        <v>M</v>
      </c>
      <c r="K233" s="4">
        <f>INDEX(products!$A$1:$G$49,MATCH($D233,products!$A$1:$A$49,0),MATCH(orders!K$1,products!$A$1:$G$1,0))</f>
        <v>0.2</v>
      </c>
      <c r="L233" s="5">
        <f>INDEX(products!$A$1:$G$49,MATCH($D233,products!$A$1:$A$49,0),MATCH(orders!L$1,products!$A$1:$G$1,0))</f>
        <v>4.3650000000000002</v>
      </c>
      <c r="M233" s="5">
        <f t="shared" si="6"/>
        <v>8.73</v>
      </c>
      <c r="N233" t="str">
        <f>IF(I233="Rob","Robusta",IF(I233="Exc","Excelsa",IF(I233="Ara","Arabica",IF(I233="Lib","Liberica",""))))</f>
        <v>Liberica</v>
      </c>
      <c r="O233" t="str">
        <f t="shared" si="7"/>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INDEX(products!$A$1:$G$49,MATCH($D234,products!$A$1:$A$49,0),MATCH(orders!I$1,products!$A$1:$G$1,0))</f>
        <v>Lib</v>
      </c>
      <c r="J234" t="str">
        <f>INDEX(products!$A$1:$G$49,MATCH($D234,products!$A$1:$A$49,0),MATCH(orders!J$1,products!$A$1:$G$1,0))</f>
        <v>L</v>
      </c>
      <c r="K234" s="4">
        <f>INDEX(products!$A$1:$G$49,MATCH($D234,products!$A$1:$A$49,0),MATCH(orders!K$1,products!$A$1:$G$1,0))</f>
        <v>0.2</v>
      </c>
      <c r="L234" s="5">
        <f>INDEX(products!$A$1:$G$49,MATCH($D234,products!$A$1:$A$49,0),MATCH(orders!L$1,products!$A$1:$G$1,0))</f>
        <v>4.7549999999999999</v>
      </c>
      <c r="M234" s="5">
        <f t="shared" si="6"/>
        <v>23.774999999999999</v>
      </c>
      <c r="N234" t="str">
        <f>IF(I234="Rob","Robusta",IF(I234="Exc","Excelsa",IF(I234="Ara","Arabica",IF(I234="Lib","Liberica",""))))</f>
        <v>Liberica</v>
      </c>
      <c r="O234" t="str">
        <f t="shared" si="7"/>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INDEX(products!$A$1:$G$49,MATCH($D235,products!$A$1:$A$49,0),MATCH(orders!I$1,products!$A$1:$G$1,0))</f>
        <v>Exc</v>
      </c>
      <c r="J235" t="str">
        <f>INDEX(products!$A$1:$G$49,MATCH($D235,products!$A$1:$A$49,0),MATCH(orders!J$1,products!$A$1:$G$1,0))</f>
        <v>M</v>
      </c>
      <c r="K235" s="4">
        <f>INDEX(products!$A$1:$G$49,MATCH($D235,products!$A$1:$A$49,0),MATCH(orders!K$1,products!$A$1:$G$1,0))</f>
        <v>0.2</v>
      </c>
      <c r="L235" s="5">
        <f>INDEX(products!$A$1:$G$49,MATCH($D235,products!$A$1:$A$49,0),MATCH(orders!L$1,products!$A$1:$G$1,0))</f>
        <v>4.125</v>
      </c>
      <c r="M235" s="5">
        <f t="shared" si="6"/>
        <v>20.625</v>
      </c>
      <c r="N235" t="str">
        <f>IF(I235="Rob","Robusta",IF(I235="Exc","Excelsa",IF(I235="Ara","Arabica",IF(I235="Lib","Liberica",""))))</f>
        <v>Excelsa</v>
      </c>
      <c r="O235" t="str">
        <f t="shared" si="7"/>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INDEX(products!$A$1:$G$49,MATCH($D236,products!$A$1:$A$49,0),MATCH(orders!I$1,products!$A$1:$G$1,0))</f>
        <v>Lib</v>
      </c>
      <c r="J236" t="str">
        <f>INDEX(products!$A$1:$G$49,MATCH($D236,products!$A$1:$A$49,0),MATCH(orders!J$1,products!$A$1:$G$1,0))</f>
        <v>L</v>
      </c>
      <c r="K236" s="4">
        <f>INDEX(products!$A$1:$G$49,MATCH($D236,products!$A$1:$A$49,0),MATCH(orders!K$1,products!$A$1:$G$1,0))</f>
        <v>2.5</v>
      </c>
      <c r="L236" s="5">
        <f>INDEX(products!$A$1:$G$49,MATCH($D236,products!$A$1:$A$49,0),MATCH(orders!L$1,products!$A$1:$G$1,0))</f>
        <v>36.454999999999998</v>
      </c>
      <c r="M236" s="5">
        <f t="shared" si="6"/>
        <v>36.454999999999998</v>
      </c>
      <c r="N236" t="str">
        <f>IF(I236="Rob","Robusta",IF(I236="Exc","Excelsa",IF(I236="Ara","Arabica",IF(I236="Lib","Liberica",""))))</f>
        <v>Liberica</v>
      </c>
      <c r="O236" t="str">
        <f t="shared" si="7"/>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INDEX(products!$A$1:$G$49,MATCH($D237,products!$A$1:$A$49,0),MATCH(orders!I$1,products!$A$1:$G$1,0))</f>
        <v>Lib</v>
      </c>
      <c r="J237" t="str">
        <f>INDEX(products!$A$1:$G$49,MATCH($D237,products!$A$1:$A$49,0),MATCH(orders!J$1,products!$A$1:$G$1,0))</f>
        <v>L</v>
      </c>
      <c r="K237" s="4">
        <f>INDEX(products!$A$1:$G$49,MATCH($D237,products!$A$1:$A$49,0),MATCH(orders!K$1,products!$A$1:$G$1,0))</f>
        <v>2.5</v>
      </c>
      <c r="L237" s="5">
        <f>INDEX(products!$A$1:$G$49,MATCH($D237,products!$A$1:$A$49,0),MATCH(orders!L$1,products!$A$1:$G$1,0))</f>
        <v>36.454999999999998</v>
      </c>
      <c r="M237" s="5">
        <f t="shared" si="6"/>
        <v>182.27499999999998</v>
      </c>
      <c r="N237" t="str">
        <f>IF(I237="Rob","Robusta",IF(I237="Exc","Excelsa",IF(I237="Ara","Arabica",IF(I237="Lib","Liberica",""))))</f>
        <v>Liberica</v>
      </c>
      <c r="O237" t="str">
        <f t="shared" si="7"/>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INDEX(products!$A$1:$G$49,MATCH($D238,products!$A$1:$A$49,0),MATCH(orders!I$1,products!$A$1:$G$1,0))</f>
        <v>Lib</v>
      </c>
      <c r="J238" t="str">
        <f>INDEX(products!$A$1:$G$49,MATCH($D238,products!$A$1:$A$49,0),MATCH(orders!J$1,products!$A$1:$G$1,0))</f>
        <v>D</v>
      </c>
      <c r="K238" s="4">
        <f>INDEX(products!$A$1:$G$49,MATCH($D238,products!$A$1:$A$49,0),MATCH(orders!K$1,products!$A$1:$G$1,0))</f>
        <v>2.5</v>
      </c>
      <c r="L238" s="5">
        <f>INDEX(products!$A$1:$G$49,MATCH($D238,products!$A$1:$A$49,0),MATCH(orders!L$1,products!$A$1:$G$1,0))</f>
        <v>29.784999999999997</v>
      </c>
      <c r="M238" s="5">
        <f t="shared" si="6"/>
        <v>89.35499999999999</v>
      </c>
      <c r="N238" t="str">
        <f>IF(I238="Rob","Robusta",IF(I238="Exc","Excelsa",IF(I238="Ara","Arabica",IF(I238="Lib","Liberica",""))))</f>
        <v>Liberica</v>
      </c>
      <c r="O238" t="str">
        <f t="shared" si="7"/>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INDEX(products!$A$1:$G$49,MATCH($D239,products!$A$1:$A$49,0),MATCH(orders!I$1,products!$A$1:$G$1,0))</f>
        <v>Rob</v>
      </c>
      <c r="J239" t="str">
        <f>INDEX(products!$A$1:$G$49,MATCH($D239,products!$A$1:$A$49,0),MATCH(orders!J$1,products!$A$1:$G$1,0))</f>
        <v>L</v>
      </c>
      <c r="K239" s="4">
        <f>INDEX(products!$A$1:$G$49,MATCH($D239,products!$A$1:$A$49,0),MATCH(orders!K$1,products!$A$1:$G$1,0))</f>
        <v>0.2</v>
      </c>
      <c r="L239" s="5">
        <f>INDEX(products!$A$1:$G$49,MATCH($D239,products!$A$1:$A$49,0),MATCH(orders!L$1,products!$A$1:$G$1,0))</f>
        <v>3.5849999999999995</v>
      </c>
      <c r="M239" s="5">
        <f t="shared" si="6"/>
        <v>3.5849999999999995</v>
      </c>
      <c r="N239" t="str">
        <f>IF(I239="Rob","Robusta",IF(I239="Exc","Excelsa",IF(I239="Ara","Arabica",IF(I239="Lib","Liberica",""))))</f>
        <v>Robusta</v>
      </c>
      <c r="O239" t="str">
        <f t="shared" si="7"/>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INDEX(products!$A$1:$G$49,MATCH($D240,products!$A$1:$A$49,0),MATCH(orders!I$1,products!$A$1:$G$1,0))</f>
        <v>Rob</v>
      </c>
      <c r="J240" t="str">
        <f>INDEX(products!$A$1:$G$49,MATCH($D240,products!$A$1:$A$49,0),MATCH(orders!J$1,products!$A$1:$G$1,0))</f>
        <v>M</v>
      </c>
      <c r="K240" s="4">
        <f>INDEX(products!$A$1:$G$49,MATCH($D240,products!$A$1:$A$49,0),MATCH(orders!K$1,products!$A$1:$G$1,0))</f>
        <v>2.5</v>
      </c>
      <c r="L240" s="5">
        <f>INDEX(products!$A$1:$G$49,MATCH($D240,products!$A$1:$A$49,0),MATCH(orders!L$1,products!$A$1:$G$1,0))</f>
        <v>22.884999999999998</v>
      </c>
      <c r="M240" s="5">
        <f t="shared" si="6"/>
        <v>45.769999999999996</v>
      </c>
      <c r="N240" t="str">
        <f>IF(I240="Rob","Robusta",IF(I240="Exc","Excelsa",IF(I240="Ara","Arabica",IF(I240="Lib","Liberica",""))))</f>
        <v>Robusta</v>
      </c>
      <c r="O240" t="str">
        <f t="shared" si="7"/>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INDEX(products!$A$1:$G$49,MATCH($D241,products!$A$1:$A$49,0),MATCH(orders!I$1,products!$A$1:$G$1,0))</f>
        <v>Exc</v>
      </c>
      <c r="J241" t="str">
        <f>INDEX(products!$A$1:$G$49,MATCH($D241,products!$A$1:$A$49,0),MATCH(orders!J$1,products!$A$1:$G$1,0))</f>
        <v>L</v>
      </c>
      <c r="K241" s="4">
        <f>INDEX(products!$A$1:$G$49,MATCH($D241,products!$A$1:$A$49,0),MATCH(orders!K$1,products!$A$1:$G$1,0))</f>
        <v>1</v>
      </c>
      <c r="L241" s="5">
        <f>INDEX(products!$A$1:$G$49,MATCH($D241,products!$A$1:$A$49,0),MATCH(orders!L$1,products!$A$1:$G$1,0))</f>
        <v>14.85</v>
      </c>
      <c r="M241" s="5">
        <f t="shared" si="6"/>
        <v>59.4</v>
      </c>
      <c r="N241" t="str">
        <f>IF(I241="Rob","Robusta",IF(I241="Exc","Excelsa",IF(I241="Ara","Arabica",IF(I241="Lib","Liberica",""))))</f>
        <v>Excelsa</v>
      </c>
      <c r="O241" t="str">
        <f t="shared" si="7"/>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INDEX(products!$A$1:$G$49,MATCH($D242,products!$A$1:$A$49,0),MATCH(orders!I$1,products!$A$1:$G$1,0))</f>
        <v>Ara</v>
      </c>
      <c r="J242" t="str">
        <f>INDEX(products!$A$1:$G$49,MATCH($D242,products!$A$1:$A$49,0),MATCH(orders!J$1,products!$A$1:$G$1,0))</f>
        <v>M</v>
      </c>
      <c r="K242" s="4">
        <f>INDEX(products!$A$1:$G$49,MATCH($D242,products!$A$1:$A$49,0),MATCH(orders!K$1,products!$A$1:$G$1,0))</f>
        <v>2.5</v>
      </c>
      <c r="L242" s="5">
        <f>INDEX(products!$A$1:$G$49,MATCH($D242,products!$A$1:$A$49,0),MATCH(orders!L$1,products!$A$1:$G$1,0))</f>
        <v>25.874999999999996</v>
      </c>
      <c r="M242" s="5">
        <f t="shared" si="6"/>
        <v>155.24999999999997</v>
      </c>
      <c r="N242" t="str">
        <f>IF(I242="Rob","Robusta",IF(I242="Exc","Excelsa",IF(I242="Ara","Arabica",IF(I242="Lib","Liberica",""))))</f>
        <v>Arabica</v>
      </c>
      <c r="O242" t="str">
        <f t="shared" si="7"/>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INDEX(products!$A$1:$G$49,MATCH($D243,products!$A$1:$A$49,0),MATCH(orders!I$1,products!$A$1:$G$1,0))</f>
        <v>Rob</v>
      </c>
      <c r="J243" t="str">
        <f>INDEX(products!$A$1:$G$49,MATCH($D243,products!$A$1:$A$49,0),MATCH(orders!J$1,products!$A$1:$G$1,0))</f>
        <v>M</v>
      </c>
      <c r="K243" s="4">
        <f>INDEX(products!$A$1:$G$49,MATCH($D243,products!$A$1:$A$49,0),MATCH(orders!K$1,products!$A$1:$G$1,0))</f>
        <v>2.5</v>
      </c>
      <c r="L243" s="5">
        <f>INDEX(products!$A$1:$G$49,MATCH($D243,products!$A$1:$A$49,0),MATCH(orders!L$1,products!$A$1:$G$1,0))</f>
        <v>22.884999999999998</v>
      </c>
      <c r="M243" s="5">
        <f t="shared" si="6"/>
        <v>45.769999999999996</v>
      </c>
      <c r="N243" t="str">
        <f>IF(I243="Rob","Robusta",IF(I243="Exc","Excelsa",IF(I243="Ara","Arabica",IF(I243="Lib","Liberica",""))))</f>
        <v>Robusta</v>
      </c>
      <c r="O243" t="str">
        <f t="shared" si="7"/>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INDEX(products!$A$1:$G$49,MATCH($D244,products!$A$1:$A$49,0),MATCH(orders!I$1,products!$A$1:$G$1,0))</f>
        <v>Exc</v>
      </c>
      <c r="J244" t="str">
        <f>INDEX(products!$A$1:$G$49,MATCH($D244,products!$A$1:$A$49,0),MATCH(orders!J$1,products!$A$1:$G$1,0))</f>
        <v>D</v>
      </c>
      <c r="K244" s="4">
        <f>INDEX(products!$A$1:$G$49,MATCH($D244,products!$A$1:$A$49,0),MATCH(orders!K$1,products!$A$1:$G$1,0))</f>
        <v>1</v>
      </c>
      <c r="L244" s="5">
        <f>INDEX(products!$A$1:$G$49,MATCH($D244,products!$A$1:$A$49,0),MATCH(orders!L$1,products!$A$1:$G$1,0))</f>
        <v>12.15</v>
      </c>
      <c r="M244" s="5">
        <f t="shared" si="6"/>
        <v>36.450000000000003</v>
      </c>
      <c r="N244" t="str">
        <f>IF(I244="Rob","Robusta",IF(I244="Exc","Excelsa",IF(I244="Ara","Arabica",IF(I244="Lib","Liberica",""))))</f>
        <v>Excelsa</v>
      </c>
      <c r="O244" t="str">
        <f t="shared" si="7"/>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INDEX(products!$A$1:$G$49,MATCH($D245,products!$A$1:$A$49,0),MATCH(orders!I$1,products!$A$1:$G$1,0))</f>
        <v>Exc</v>
      </c>
      <c r="J245" t="str">
        <f>INDEX(products!$A$1:$G$49,MATCH($D245,products!$A$1:$A$49,0),MATCH(orders!J$1,products!$A$1:$G$1,0))</f>
        <v>D</v>
      </c>
      <c r="K245" s="4">
        <f>INDEX(products!$A$1:$G$49,MATCH($D245,products!$A$1:$A$49,0),MATCH(orders!K$1,products!$A$1:$G$1,0))</f>
        <v>0.5</v>
      </c>
      <c r="L245" s="5">
        <f>INDEX(products!$A$1:$G$49,MATCH($D245,products!$A$1:$A$49,0),MATCH(orders!L$1,products!$A$1:$G$1,0))</f>
        <v>7.29</v>
      </c>
      <c r="M245" s="5">
        <f t="shared" si="6"/>
        <v>29.16</v>
      </c>
      <c r="N245" t="str">
        <f>IF(I245="Rob","Robusta",IF(I245="Exc","Excelsa",IF(I245="Ara","Arabica",IF(I245="Lib","Liberica",""))))</f>
        <v>Excelsa</v>
      </c>
      <c r="O245" t="str">
        <f t="shared" si="7"/>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INDEX(products!$A$1:$G$49,MATCH($D246,products!$A$1:$A$49,0),MATCH(orders!I$1,products!$A$1:$G$1,0))</f>
        <v>Lib</v>
      </c>
      <c r="J246" t="str">
        <f>INDEX(products!$A$1:$G$49,MATCH($D246,products!$A$1:$A$49,0),MATCH(orders!J$1,products!$A$1:$G$1,0))</f>
        <v>M</v>
      </c>
      <c r="K246" s="4">
        <f>INDEX(products!$A$1:$G$49,MATCH($D246,products!$A$1:$A$49,0),MATCH(orders!K$1,products!$A$1:$G$1,0))</f>
        <v>2.5</v>
      </c>
      <c r="L246" s="5">
        <f>INDEX(products!$A$1:$G$49,MATCH($D246,products!$A$1:$A$49,0),MATCH(orders!L$1,products!$A$1:$G$1,0))</f>
        <v>33.464999999999996</v>
      </c>
      <c r="M246" s="5">
        <f t="shared" si="6"/>
        <v>133.85999999999999</v>
      </c>
      <c r="N246" t="str">
        <f>IF(I246="Rob","Robusta",IF(I246="Exc","Excelsa",IF(I246="Ara","Arabica",IF(I246="Lib","Liberica",""))))</f>
        <v>Liberica</v>
      </c>
      <c r="O246" t="str">
        <f t="shared" si="7"/>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INDEX(products!$A$1:$G$49,MATCH($D247,products!$A$1:$A$49,0),MATCH(orders!I$1,products!$A$1:$G$1,0))</f>
        <v>Lib</v>
      </c>
      <c r="J247" t="str">
        <f>INDEX(products!$A$1:$G$49,MATCH($D247,products!$A$1:$A$49,0),MATCH(orders!J$1,products!$A$1:$G$1,0))</f>
        <v>L</v>
      </c>
      <c r="K247" s="4">
        <f>INDEX(products!$A$1:$G$49,MATCH($D247,products!$A$1:$A$49,0),MATCH(orders!K$1,products!$A$1:$G$1,0))</f>
        <v>0.2</v>
      </c>
      <c r="L247" s="5">
        <f>INDEX(products!$A$1:$G$49,MATCH($D247,products!$A$1:$A$49,0),MATCH(orders!L$1,products!$A$1:$G$1,0))</f>
        <v>4.7549999999999999</v>
      </c>
      <c r="M247" s="5">
        <f t="shared" si="6"/>
        <v>23.774999999999999</v>
      </c>
      <c r="N247" t="str">
        <f>IF(I247="Rob","Robusta",IF(I247="Exc","Excelsa",IF(I247="Ara","Arabica",IF(I247="Lib","Liberica",""))))</f>
        <v>Liberica</v>
      </c>
      <c r="O247" t="str">
        <f t="shared" si="7"/>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INDEX(products!$A$1:$G$49,MATCH($D248,products!$A$1:$A$49,0),MATCH(orders!I$1,products!$A$1:$G$1,0))</f>
        <v>Lib</v>
      </c>
      <c r="J248" t="str">
        <f>INDEX(products!$A$1:$G$49,MATCH($D248,products!$A$1:$A$49,0),MATCH(orders!J$1,products!$A$1:$G$1,0))</f>
        <v>D</v>
      </c>
      <c r="K248" s="4">
        <f>INDEX(products!$A$1:$G$49,MATCH($D248,products!$A$1:$A$49,0),MATCH(orders!K$1,products!$A$1:$G$1,0))</f>
        <v>1</v>
      </c>
      <c r="L248" s="5">
        <f>INDEX(products!$A$1:$G$49,MATCH($D248,products!$A$1:$A$49,0),MATCH(orders!L$1,products!$A$1:$G$1,0))</f>
        <v>12.95</v>
      </c>
      <c r="M248" s="5">
        <f t="shared" si="6"/>
        <v>38.849999999999994</v>
      </c>
      <c r="N248" t="str">
        <f>IF(I248="Rob","Robusta",IF(I248="Exc","Excelsa",IF(I248="Ara","Arabica",IF(I248="Lib","Liberica",""))))</f>
        <v>Liberica</v>
      </c>
      <c r="O248" t="str">
        <f t="shared" si="7"/>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INDEX(products!$A$1:$G$49,MATCH($D249,products!$A$1:$A$49,0),MATCH(orders!I$1,products!$A$1:$G$1,0))</f>
        <v>Rob</v>
      </c>
      <c r="J249" t="str">
        <f>INDEX(products!$A$1:$G$49,MATCH($D249,products!$A$1:$A$49,0),MATCH(orders!J$1,products!$A$1:$G$1,0))</f>
        <v>L</v>
      </c>
      <c r="K249" s="4">
        <f>INDEX(products!$A$1:$G$49,MATCH($D249,products!$A$1:$A$49,0),MATCH(orders!K$1,products!$A$1:$G$1,0))</f>
        <v>0.2</v>
      </c>
      <c r="L249" s="5">
        <f>INDEX(products!$A$1:$G$49,MATCH($D249,products!$A$1:$A$49,0),MATCH(orders!L$1,products!$A$1:$G$1,0))</f>
        <v>3.5849999999999995</v>
      </c>
      <c r="M249" s="5">
        <f t="shared" si="6"/>
        <v>21.509999999999998</v>
      </c>
      <c r="N249" t="str">
        <f>IF(I249="Rob","Robusta",IF(I249="Exc","Excelsa",IF(I249="Ara","Arabica",IF(I249="Lib","Liberica",""))))</f>
        <v>Robusta</v>
      </c>
      <c r="O249" t="str">
        <f t="shared" si="7"/>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INDEX(products!$A$1:$G$49,MATCH($D250,products!$A$1:$A$49,0),MATCH(orders!I$1,products!$A$1:$G$1,0))</f>
        <v>Ara</v>
      </c>
      <c r="J250" t="str">
        <f>INDEX(products!$A$1:$G$49,MATCH($D250,products!$A$1:$A$49,0),MATCH(orders!J$1,products!$A$1:$G$1,0))</f>
        <v>D</v>
      </c>
      <c r="K250" s="4">
        <f>INDEX(products!$A$1:$G$49,MATCH($D250,products!$A$1:$A$49,0),MATCH(orders!K$1,products!$A$1:$G$1,0))</f>
        <v>1</v>
      </c>
      <c r="L250" s="5">
        <f>INDEX(products!$A$1:$G$49,MATCH($D250,products!$A$1:$A$49,0),MATCH(orders!L$1,products!$A$1:$G$1,0))</f>
        <v>9.9499999999999993</v>
      </c>
      <c r="M250" s="5">
        <f t="shared" si="6"/>
        <v>9.9499999999999993</v>
      </c>
      <c r="N250" t="str">
        <f>IF(I250="Rob","Robusta",IF(I250="Exc","Excelsa",IF(I250="Ara","Arabica",IF(I250="Lib","Liberica",""))))</f>
        <v>Arabica</v>
      </c>
      <c r="O250" t="str">
        <f t="shared" si="7"/>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INDEX(products!$A$1:$G$49,MATCH($D251,products!$A$1:$A$49,0),MATCH(orders!I$1,products!$A$1:$G$1,0))</f>
        <v>Lib</v>
      </c>
      <c r="J251" t="str">
        <f>INDEX(products!$A$1:$G$49,MATCH($D251,products!$A$1:$A$49,0),MATCH(orders!J$1,products!$A$1:$G$1,0))</f>
        <v>L</v>
      </c>
      <c r="K251" s="4">
        <f>INDEX(products!$A$1:$G$49,MATCH($D251,products!$A$1:$A$49,0),MATCH(orders!K$1,products!$A$1:$G$1,0))</f>
        <v>1</v>
      </c>
      <c r="L251" s="5">
        <f>INDEX(products!$A$1:$G$49,MATCH($D251,products!$A$1:$A$49,0),MATCH(orders!L$1,products!$A$1:$G$1,0))</f>
        <v>15.85</v>
      </c>
      <c r="M251" s="5">
        <f t="shared" si="6"/>
        <v>15.85</v>
      </c>
      <c r="N251" t="str">
        <f>IF(I251="Rob","Robusta",IF(I251="Exc","Excelsa",IF(I251="Ara","Arabica",IF(I251="Lib","Liberica",""))))</f>
        <v>Liberica</v>
      </c>
      <c r="O251" t="str">
        <f t="shared" si="7"/>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INDEX(products!$A$1:$G$49,MATCH($D252,products!$A$1:$A$49,0),MATCH(orders!I$1,products!$A$1:$G$1,0))</f>
        <v>Rob</v>
      </c>
      <c r="J252" t="str">
        <f>INDEX(products!$A$1:$G$49,MATCH($D252,products!$A$1:$A$49,0),MATCH(orders!J$1,products!$A$1:$G$1,0))</f>
        <v>M</v>
      </c>
      <c r="K252" s="4">
        <f>INDEX(products!$A$1:$G$49,MATCH($D252,products!$A$1:$A$49,0),MATCH(orders!K$1,products!$A$1:$G$1,0))</f>
        <v>0.2</v>
      </c>
      <c r="L252" s="5">
        <f>INDEX(products!$A$1:$G$49,MATCH($D252,products!$A$1:$A$49,0),MATCH(orders!L$1,products!$A$1:$G$1,0))</f>
        <v>2.9849999999999999</v>
      </c>
      <c r="M252" s="5">
        <f t="shared" si="6"/>
        <v>2.9849999999999999</v>
      </c>
      <c r="N252" t="str">
        <f>IF(I252="Rob","Robusta",IF(I252="Exc","Excelsa",IF(I252="Ara","Arabica",IF(I252="Lib","Liberica",""))))</f>
        <v>Robusta</v>
      </c>
      <c r="O252" t="str">
        <f t="shared" si="7"/>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INDEX(products!$A$1:$G$49,MATCH($D253,products!$A$1:$A$49,0),MATCH(orders!I$1,products!$A$1:$G$1,0))</f>
        <v>Exc</v>
      </c>
      <c r="J253" t="str">
        <f>INDEX(products!$A$1:$G$49,MATCH($D253,products!$A$1:$A$49,0),MATCH(orders!J$1,products!$A$1:$G$1,0))</f>
        <v>M</v>
      </c>
      <c r="K253" s="4">
        <f>INDEX(products!$A$1:$G$49,MATCH($D253,products!$A$1:$A$49,0),MATCH(orders!K$1,products!$A$1:$G$1,0))</f>
        <v>1</v>
      </c>
      <c r="L253" s="5">
        <f>INDEX(products!$A$1:$G$49,MATCH($D253,products!$A$1:$A$49,0),MATCH(orders!L$1,products!$A$1:$G$1,0))</f>
        <v>13.75</v>
      </c>
      <c r="M253" s="5">
        <f t="shared" si="6"/>
        <v>68.75</v>
      </c>
      <c r="N253" t="str">
        <f>IF(I253="Rob","Robusta",IF(I253="Exc","Excelsa",IF(I253="Ara","Arabica",IF(I253="Lib","Liberica",""))))</f>
        <v>Excelsa</v>
      </c>
      <c r="O253" t="str">
        <f t="shared" si="7"/>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INDEX(products!$A$1:$G$49,MATCH($D254,products!$A$1:$A$49,0),MATCH(orders!I$1,products!$A$1:$G$1,0))</f>
        <v>Ara</v>
      </c>
      <c r="J254" t="str">
        <f>INDEX(products!$A$1:$G$49,MATCH($D254,products!$A$1:$A$49,0),MATCH(orders!J$1,products!$A$1:$G$1,0))</f>
        <v>D</v>
      </c>
      <c r="K254" s="4">
        <f>INDEX(products!$A$1:$G$49,MATCH($D254,products!$A$1:$A$49,0),MATCH(orders!K$1,products!$A$1:$G$1,0))</f>
        <v>1</v>
      </c>
      <c r="L254" s="5">
        <f>INDEX(products!$A$1:$G$49,MATCH($D254,products!$A$1:$A$49,0),MATCH(orders!L$1,products!$A$1:$G$1,0))</f>
        <v>9.9499999999999993</v>
      </c>
      <c r="M254" s="5">
        <f t="shared" si="6"/>
        <v>29.849999999999998</v>
      </c>
      <c r="N254" t="str">
        <f>IF(I254="Rob","Robusta",IF(I254="Exc","Excelsa",IF(I254="Ara","Arabica",IF(I254="Lib","Liberica",""))))</f>
        <v>Arabica</v>
      </c>
      <c r="O254" t="str">
        <f t="shared" si="7"/>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INDEX(products!$A$1:$G$49,MATCH($D255,products!$A$1:$A$49,0),MATCH(orders!I$1,products!$A$1:$G$1,0))</f>
        <v>Lib</v>
      </c>
      <c r="J255" t="str">
        <f>INDEX(products!$A$1:$G$49,MATCH($D255,products!$A$1:$A$49,0),MATCH(orders!J$1,products!$A$1:$G$1,0))</f>
        <v>M</v>
      </c>
      <c r="K255" s="4">
        <f>INDEX(products!$A$1:$G$49,MATCH($D255,products!$A$1:$A$49,0),MATCH(orders!K$1,products!$A$1:$G$1,0))</f>
        <v>1</v>
      </c>
      <c r="L255" s="5">
        <f>INDEX(products!$A$1:$G$49,MATCH($D255,products!$A$1:$A$49,0),MATCH(orders!L$1,products!$A$1:$G$1,0))</f>
        <v>14.55</v>
      </c>
      <c r="M255" s="5">
        <f t="shared" si="6"/>
        <v>58.2</v>
      </c>
      <c r="N255" t="str">
        <f>IF(I255="Rob","Robusta",IF(I255="Exc","Excelsa",IF(I255="Ara","Arabica",IF(I255="Lib","Liberica",""))))</f>
        <v>Liberica</v>
      </c>
      <c r="O255" t="str">
        <f t="shared" si="7"/>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INDEX(products!$A$1:$G$49,MATCH($D256,products!$A$1:$A$49,0),MATCH(orders!I$1,products!$A$1:$G$1,0))</f>
        <v>Rob</v>
      </c>
      <c r="J256" t="str">
        <f>INDEX(products!$A$1:$G$49,MATCH($D256,products!$A$1:$A$49,0),MATCH(orders!J$1,products!$A$1:$G$1,0))</f>
        <v>L</v>
      </c>
      <c r="K256" s="4">
        <f>INDEX(products!$A$1:$G$49,MATCH($D256,products!$A$1:$A$49,0),MATCH(orders!K$1,products!$A$1:$G$1,0))</f>
        <v>0.5</v>
      </c>
      <c r="L256" s="5">
        <f>INDEX(products!$A$1:$G$49,MATCH($D256,products!$A$1:$A$49,0),MATCH(orders!L$1,products!$A$1:$G$1,0))</f>
        <v>7.169999999999999</v>
      </c>
      <c r="M256" s="5">
        <f t="shared" si="6"/>
        <v>28.679999999999996</v>
      </c>
      <c r="N256" t="str">
        <f>IF(I256="Rob","Robusta",IF(I256="Exc","Excelsa",IF(I256="Ara","Arabica",IF(I256="Lib","Liberica",""))))</f>
        <v>Robusta</v>
      </c>
      <c r="O256" t="str">
        <f t="shared" si="7"/>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INDEX(products!$A$1:$G$49,MATCH($D257,products!$A$1:$A$49,0),MATCH(orders!I$1,products!$A$1:$G$1,0))</f>
        <v>Rob</v>
      </c>
      <c r="J257" t="str">
        <f>INDEX(products!$A$1:$G$49,MATCH($D257,products!$A$1:$A$49,0),MATCH(orders!J$1,products!$A$1:$G$1,0))</f>
        <v>L</v>
      </c>
      <c r="K257" s="4">
        <f>INDEX(products!$A$1:$G$49,MATCH($D257,products!$A$1:$A$49,0),MATCH(orders!K$1,products!$A$1:$G$1,0))</f>
        <v>0.5</v>
      </c>
      <c r="L257" s="5">
        <f>INDEX(products!$A$1:$G$49,MATCH($D257,products!$A$1:$A$49,0),MATCH(orders!L$1,products!$A$1:$G$1,0))</f>
        <v>7.169999999999999</v>
      </c>
      <c r="M257" s="5">
        <f t="shared" si="6"/>
        <v>21.509999999999998</v>
      </c>
      <c r="N257" t="str">
        <f>IF(I257="Rob","Robusta",IF(I257="Exc","Excelsa",IF(I257="Ara","Arabica",IF(I257="Lib","Liberica",""))))</f>
        <v>Robusta</v>
      </c>
      <c r="O257" t="str">
        <f t="shared" si="7"/>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INDEX(products!$A$1:$G$49,MATCH($D258,products!$A$1:$A$49,0),MATCH(orders!I$1,products!$A$1:$G$1,0))</f>
        <v>Lib</v>
      </c>
      <c r="J258" t="str">
        <f>INDEX(products!$A$1:$G$49,MATCH($D258,products!$A$1:$A$49,0),MATCH(orders!J$1,products!$A$1:$G$1,0))</f>
        <v>M</v>
      </c>
      <c r="K258" s="4">
        <f>INDEX(products!$A$1:$G$49,MATCH($D258,products!$A$1:$A$49,0),MATCH(orders!K$1,products!$A$1:$G$1,0))</f>
        <v>0.5</v>
      </c>
      <c r="L258" s="5">
        <f>INDEX(products!$A$1:$G$49,MATCH($D258,products!$A$1:$A$49,0),MATCH(orders!L$1,products!$A$1:$G$1,0))</f>
        <v>8.73</v>
      </c>
      <c r="M258" s="5">
        <f t="shared" si="6"/>
        <v>17.46</v>
      </c>
      <c r="N258" t="str">
        <f>IF(I258="Rob","Robusta",IF(I258="Exc","Excelsa",IF(I258="Ara","Arabica",IF(I258="Lib","Liberica",""))))</f>
        <v>Liberica</v>
      </c>
      <c r="O258" t="str">
        <f t="shared" si="7"/>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INDEX(products!$A$1:$G$49,MATCH($D259,products!$A$1:$A$49,0),MATCH(orders!I$1,products!$A$1:$G$1,0))</f>
        <v>Exc</v>
      </c>
      <c r="J259" t="str">
        <f>INDEX(products!$A$1:$G$49,MATCH($D259,products!$A$1:$A$49,0),MATCH(orders!J$1,products!$A$1:$G$1,0))</f>
        <v>D</v>
      </c>
      <c r="K259" s="4">
        <f>INDEX(products!$A$1:$G$49,MATCH($D259,products!$A$1:$A$49,0),MATCH(orders!K$1,products!$A$1:$G$1,0))</f>
        <v>2.5</v>
      </c>
      <c r="L259" s="5">
        <f>INDEX(products!$A$1:$G$49,MATCH($D259,products!$A$1:$A$49,0),MATCH(orders!L$1,products!$A$1:$G$1,0))</f>
        <v>27.945</v>
      </c>
      <c r="M259" s="5">
        <f t="shared" ref="M259:M322" si="8">L259*E259</f>
        <v>27.945</v>
      </c>
      <c r="N259" t="str">
        <f>IF(I259="Rob","Robusta",IF(I259="Exc","Excelsa",IF(I259="Ara","Arabica",IF(I259="Lib","Liberica",""))))</f>
        <v>Excelsa</v>
      </c>
      <c r="O259" t="str">
        <f t="shared" ref="O259:O322" si="9">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INDEX(products!$A$1:$G$49,MATCH($D260,products!$A$1:$A$49,0),MATCH(orders!I$1,products!$A$1:$G$1,0))</f>
        <v>Exc</v>
      </c>
      <c r="J260" t="str">
        <f>INDEX(products!$A$1:$G$49,MATCH($D260,products!$A$1:$A$49,0),MATCH(orders!J$1,products!$A$1:$G$1,0))</f>
        <v>D</v>
      </c>
      <c r="K260" s="4">
        <f>INDEX(products!$A$1:$G$49,MATCH($D260,products!$A$1:$A$49,0),MATCH(orders!K$1,products!$A$1:$G$1,0))</f>
        <v>2.5</v>
      </c>
      <c r="L260" s="5">
        <f>INDEX(products!$A$1:$G$49,MATCH($D260,products!$A$1:$A$49,0),MATCH(orders!L$1,products!$A$1:$G$1,0))</f>
        <v>27.945</v>
      </c>
      <c r="M260" s="5">
        <f t="shared" si="8"/>
        <v>139.72499999999999</v>
      </c>
      <c r="N260" t="str">
        <f>IF(I260="Rob","Robusta",IF(I260="Exc","Excelsa",IF(I260="Ara","Arabica",IF(I260="Lib","Liberica",""))))</f>
        <v>Excelsa</v>
      </c>
      <c r="O260" t="str">
        <f t="shared" si="9"/>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INDEX(products!$A$1:$G$49,MATCH($D261,products!$A$1:$A$49,0),MATCH(orders!I$1,products!$A$1:$G$1,0))</f>
        <v>Rob</v>
      </c>
      <c r="J261" t="str">
        <f>INDEX(products!$A$1:$G$49,MATCH($D261,products!$A$1:$A$49,0),MATCH(orders!J$1,products!$A$1:$G$1,0))</f>
        <v>M</v>
      </c>
      <c r="K261" s="4">
        <f>INDEX(products!$A$1:$G$49,MATCH($D261,products!$A$1:$A$49,0),MATCH(orders!K$1,products!$A$1:$G$1,0))</f>
        <v>0.2</v>
      </c>
      <c r="L261" s="5">
        <f>INDEX(products!$A$1:$G$49,MATCH($D261,products!$A$1:$A$49,0),MATCH(orders!L$1,products!$A$1:$G$1,0))</f>
        <v>2.9849999999999999</v>
      </c>
      <c r="M261" s="5">
        <f t="shared" si="8"/>
        <v>5.97</v>
      </c>
      <c r="N261" t="str">
        <f>IF(I261="Rob","Robusta",IF(I261="Exc","Excelsa",IF(I261="Ara","Arabica",IF(I261="Lib","Liberica",""))))</f>
        <v>Robusta</v>
      </c>
      <c r="O261" t="str">
        <f t="shared" si="9"/>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INDEX(products!$A$1:$G$49,MATCH($D262,products!$A$1:$A$49,0),MATCH(orders!I$1,products!$A$1:$G$1,0))</f>
        <v>Rob</v>
      </c>
      <c r="J262" t="str">
        <f>INDEX(products!$A$1:$G$49,MATCH($D262,products!$A$1:$A$49,0),MATCH(orders!J$1,products!$A$1:$G$1,0))</f>
        <v>L</v>
      </c>
      <c r="K262" s="4">
        <f>INDEX(products!$A$1:$G$49,MATCH($D262,products!$A$1:$A$49,0),MATCH(orders!K$1,products!$A$1:$G$1,0))</f>
        <v>2.5</v>
      </c>
      <c r="L262" s="5">
        <f>INDEX(products!$A$1:$G$49,MATCH($D262,products!$A$1:$A$49,0),MATCH(orders!L$1,products!$A$1:$G$1,0))</f>
        <v>27.484999999999996</v>
      </c>
      <c r="M262" s="5">
        <f t="shared" si="8"/>
        <v>27.484999999999996</v>
      </c>
      <c r="N262" t="str">
        <f>IF(I262="Rob","Robusta",IF(I262="Exc","Excelsa",IF(I262="Ara","Arabica",IF(I262="Lib","Liberica",""))))</f>
        <v>Robusta</v>
      </c>
      <c r="O262" t="str">
        <f t="shared" si="9"/>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INDEX(products!$A$1:$G$49,MATCH($D263,products!$A$1:$A$49,0),MATCH(orders!I$1,products!$A$1:$G$1,0))</f>
        <v>Rob</v>
      </c>
      <c r="J263" t="str">
        <f>INDEX(products!$A$1:$G$49,MATCH($D263,products!$A$1:$A$49,0),MATCH(orders!J$1,products!$A$1:$G$1,0))</f>
        <v>L</v>
      </c>
      <c r="K263" s="4">
        <f>INDEX(products!$A$1:$G$49,MATCH($D263,products!$A$1:$A$49,0),MATCH(orders!K$1,products!$A$1:$G$1,0))</f>
        <v>1</v>
      </c>
      <c r="L263" s="5">
        <f>INDEX(products!$A$1:$G$49,MATCH($D263,products!$A$1:$A$49,0),MATCH(orders!L$1,products!$A$1:$G$1,0))</f>
        <v>11.95</v>
      </c>
      <c r="M263" s="5">
        <f t="shared" si="8"/>
        <v>59.75</v>
      </c>
      <c r="N263" t="str">
        <f>IF(I263="Rob","Robusta",IF(I263="Exc","Excelsa",IF(I263="Ara","Arabica",IF(I263="Lib","Liberica",""))))</f>
        <v>Robusta</v>
      </c>
      <c r="O263" t="str">
        <f t="shared" si="9"/>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INDEX(products!$A$1:$G$49,MATCH($D264,products!$A$1:$A$49,0),MATCH(orders!I$1,products!$A$1:$G$1,0))</f>
        <v>Exc</v>
      </c>
      <c r="J264" t="str">
        <f>INDEX(products!$A$1:$G$49,MATCH($D264,products!$A$1:$A$49,0),MATCH(orders!J$1,products!$A$1:$G$1,0))</f>
        <v>M</v>
      </c>
      <c r="K264" s="4">
        <f>INDEX(products!$A$1:$G$49,MATCH($D264,products!$A$1:$A$49,0),MATCH(orders!K$1,products!$A$1:$G$1,0))</f>
        <v>1</v>
      </c>
      <c r="L264" s="5">
        <f>INDEX(products!$A$1:$G$49,MATCH($D264,products!$A$1:$A$49,0),MATCH(orders!L$1,products!$A$1:$G$1,0))</f>
        <v>13.75</v>
      </c>
      <c r="M264" s="5">
        <f t="shared" si="8"/>
        <v>41.25</v>
      </c>
      <c r="N264" t="str">
        <f>IF(I264="Rob","Robusta",IF(I264="Exc","Excelsa",IF(I264="Ara","Arabica",IF(I264="Lib","Liberica",""))))</f>
        <v>Excelsa</v>
      </c>
      <c r="O264" t="str">
        <f t="shared" si="9"/>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INDEX(products!$A$1:$G$49,MATCH($D265,products!$A$1:$A$49,0),MATCH(orders!I$1,products!$A$1:$G$1,0))</f>
        <v>Lib</v>
      </c>
      <c r="J265" t="str">
        <f>INDEX(products!$A$1:$G$49,MATCH($D265,products!$A$1:$A$49,0),MATCH(orders!J$1,products!$A$1:$G$1,0))</f>
        <v>M</v>
      </c>
      <c r="K265" s="4">
        <f>INDEX(products!$A$1:$G$49,MATCH($D265,products!$A$1:$A$49,0),MATCH(orders!K$1,products!$A$1:$G$1,0))</f>
        <v>2.5</v>
      </c>
      <c r="L265" s="5">
        <f>INDEX(products!$A$1:$G$49,MATCH($D265,products!$A$1:$A$49,0),MATCH(orders!L$1,products!$A$1:$G$1,0))</f>
        <v>33.464999999999996</v>
      </c>
      <c r="M265" s="5">
        <f t="shared" si="8"/>
        <v>133.85999999999999</v>
      </c>
      <c r="N265" t="str">
        <f>IF(I265="Rob","Robusta",IF(I265="Exc","Excelsa",IF(I265="Ara","Arabica",IF(I265="Lib","Liberica",""))))</f>
        <v>Liberica</v>
      </c>
      <c r="O265" t="str">
        <f t="shared" si="9"/>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INDEX(products!$A$1:$G$49,MATCH($D266,products!$A$1:$A$49,0),MATCH(orders!I$1,products!$A$1:$G$1,0))</f>
        <v>Rob</v>
      </c>
      <c r="J266" t="str">
        <f>INDEX(products!$A$1:$G$49,MATCH($D266,products!$A$1:$A$49,0),MATCH(orders!J$1,products!$A$1:$G$1,0))</f>
        <v>L</v>
      </c>
      <c r="K266" s="4">
        <f>INDEX(products!$A$1:$G$49,MATCH($D266,products!$A$1:$A$49,0),MATCH(orders!K$1,products!$A$1:$G$1,0))</f>
        <v>1</v>
      </c>
      <c r="L266" s="5">
        <f>INDEX(products!$A$1:$G$49,MATCH($D266,products!$A$1:$A$49,0),MATCH(orders!L$1,products!$A$1:$G$1,0))</f>
        <v>11.95</v>
      </c>
      <c r="M266" s="5">
        <f t="shared" si="8"/>
        <v>59.75</v>
      </c>
      <c r="N266" t="str">
        <f>IF(I266="Rob","Robusta",IF(I266="Exc","Excelsa",IF(I266="Ara","Arabica",IF(I266="Lib","Liberica",""))))</f>
        <v>Robusta</v>
      </c>
      <c r="O266" t="str">
        <f t="shared" si="9"/>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INDEX(products!$A$1:$G$49,MATCH($D267,products!$A$1:$A$49,0),MATCH(orders!I$1,products!$A$1:$G$1,0))</f>
        <v>Ara</v>
      </c>
      <c r="J267" t="str">
        <f>INDEX(products!$A$1:$G$49,MATCH($D267,products!$A$1:$A$49,0),MATCH(orders!J$1,products!$A$1:$G$1,0))</f>
        <v>D</v>
      </c>
      <c r="K267" s="4">
        <f>INDEX(products!$A$1:$G$49,MATCH($D267,products!$A$1:$A$49,0),MATCH(orders!K$1,products!$A$1:$G$1,0))</f>
        <v>0.5</v>
      </c>
      <c r="L267" s="5">
        <f>INDEX(products!$A$1:$G$49,MATCH($D267,products!$A$1:$A$49,0),MATCH(orders!L$1,products!$A$1:$G$1,0))</f>
        <v>5.97</v>
      </c>
      <c r="M267" s="5">
        <f t="shared" si="8"/>
        <v>5.97</v>
      </c>
      <c r="N267" t="str">
        <f>IF(I267="Rob","Robusta",IF(I267="Exc","Excelsa",IF(I267="Ara","Arabica",IF(I267="Lib","Liberica",""))))</f>
        <v>Arabica</v>
      </c>
      <c r="O267" t="str">
        <f t="shared" si="9"/>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INDEX(products!$A$1:$G$49,MATCH($D268,products!$A$1:$A$49,0),MATCH(orders!I$1,products!$A$1:$G$1,0))</f>
        <v>Exc</v>
      </c>
      <c r="J268" t="str">
        <f>INDEX(products!$A$1:$G$49,MATCH($D268,products!$A$1:$A$49,0),MATCH(orders!J$1,products!$A$1:$G$1,0))</f>
        <v>D</v>
      </c>
      <c r="K268" s="4">
        <f>INDEX(products!$A$1:$G$49,MATCH($D268,products!$A$1:$A$49,0),MATCH(orders!K$1,products!$A$1:$G$1,0))</f>
        <v>1</v>
      </c>
      <c r="L268" s="5">
        <f>INDEX(products!$A$1:$G$49,MATCH($D268,products!$A$1:$A$49,0),MATCH(orders!L$1,products!$A$1:$G$1,0))</f>
        <v>12.15</v>
      </c>
      <c r="M268" s="5">
        <f t="shared" si="8"/>
        <v>24.3</v>
      </c>
      <c r="N268" t="str">
        <f>IF(I268="Rob","Robusta",IF(I268="Exc","Excelsa",IF(I268="Ara","Arabica",IF(I268="Lib","Liberica",""))))</f>
        <v>Excelsa</v>
      </c>
      <c r="O268" t="str">
        <f t="shared" si="9"/>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INDEX(products!$A$1:$G$49,MATCH($D269,products!$A$1:$A$49,0),MATCH(orders!I$1,products!$A$1:$G$1,0))</f>
        <v>Exc</v>
      </c>
      <c r="J269" t="str">
        <f>INDEX(products!$A$1:$G$49,MATCH($D269,products!$A$1:$A$49,0),MATCH(orders!J$1,products!$A$1:$G$1,0))</f>
        <v>D</v>
      </c>
      <c r="K269" s="4">
        <f>INDEX(products!$A$1:$G$49,MATCH($D269,products!$A$1:$A$49,0),MATCH(orders!K$1,products!$A$1:$G$1,0))</f>
        <v>0.2</v>
      </c>
      <c r="L269" s="5">
        <f>INDEX(products!$A$1:$G$49,MATCH($D269,products!$A$1:$A$49,0),MATCH(orders!L$1,products!$A$1:$G$1,0))</f>
        <v>3.645</v>
      </c>
      <c r="M269" s="5">
        <f t="shared" si="8"/>
        <v>21.87</v>
      </c>
      <c r="N269" t="str">
        <f>IF(I269="Rob","Robusta",IF(I269="Exc","Excelsa",IF(I269="Ara","Arabica",IF(I269="Lib","Liberica",""))))</f>
        <v>Excelsa</v>
      </c>
      <c r="O269" t="str">
        <f t="shared" si="9"/>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INDEX(products!$A$1:$G$49,MATCH($D270,products!$A$1:$A$49,0),MATCH(orders!I$1,products!$A$1:$G$1,0))</f>
        <v>Ara</v>
      </c>
      <c r="J270" t="str">
        <f>INDEX(products!$A$1:$G$49,MATCH($D270,products!$A$1:$A$49,0),MATCH(orders!J$1,products!$A$1:$G$1,0))</f>
        <v>D</v>
      </c>
      <c r="K270" s="4">
        <f>INDEX(products!$A$1:$G$49,MATCH($D270,products!$A$1:$A$49,0),MATCH(orders!K$1,products!$A$1:$G$1,0))</f>
        <v>1</v>
      </c>
      <c r="L270" s="5">
        <f>INDEX(products!$A$1:$G$49,MATCH($D270,products!$A$1:$A$49,0),MATCH(orders!L$1,products!$A$1:$G$1,0))</f>
        <v>9.9499999999999993</v>
      </c>
      <c r="M270" s="5">
        <f t="shared" si="8"/>
        <v>19.899999999999999</v>
      </c>
      <c r="N270" t="str">
        <f>IF(I270="Rob","Robusta",IF(I270="Exc","Excelsa",IF(I270="Ara","Arabica",IF(I270="Lib","Liberica",""))))</f>
        <v>Arabica</v>
      </c>
      <c r="O270" t="str">
        <f t="shared" si="9"/>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INDEX(products!$A$1:$G$49,MATCH($D271,products!$A$1:$A$49,0),MATCH(orders!I$1,products!$A$1:$G$1,0))</f>
        <v>Ara</v>
      </c>
      <c r="J271" t="str">
        <f>INDEX(products!$A$1:$G$49,MATCH($D271,products!$A$1:$A$49,0),MATCH(orders!J$1,products!$A$1:$G$1,0))</f>
        <v>D</v>
      </c>
      <c r="K271" s="4">
        <f>INDEX(products!$A$1:$G$49,MATCH($D271,products!$A$1:$A$49,0),MATCH(orders!K$1,products!$A$1:$G$1,0))</f>
        <v>0.2</v>
      </c>
      <c r="L271" s="5">
        <f>INDEX(products!$A$1:$G$49,MATCH($D271,products!$A$1:$A$49,0),MATCH(orders!L$1,products!$A$1:$G$1,0))</f>
        <v>2.9849999999999999</v>
      </c>
      <c r="M271" s="5">
        <f t="shared" si="8"/>
        <v>5.97</v>
      </c>
      <c r="N271" t="str">
        <f>IF(I271="Rob","Robusta",IF(I271="Exc","Excelsa",IF(I271="Ara","Arabica",IF(I271="Lib","Liberica",""))))</f>
        <v>Arabica</v>
      </c>
      <c r="O271" t="str">
        <f t="shared" si="9"/>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INDEX(products!$A$1:$G$49,MATCH($D272,products!$A$1:$A$49,0),MATCH(orders!I$1,products!$A$1:$G$1,0))</f>
        <v>Exc</v>
      </c>
      <c r="J272" t="str">
        <f>INDEX(products!$A$1:$G$49,MATCH($D272,products!$A$1:$A$49,0),MATCH(orders!J$1,products!$A$1:$G$1,0))</f>
        <v>D</v>
      </c>
      <c r="K272" s="4">
        <f>INDEX(products!$A$1:$G$49,MATCH($D272,products!$A$1:$A$49,0),MATCH(orders!K$1,products!$A$1:$G$1,0))</f>
        <v>0.5</v>
      </c>
      <c r="L272" s="5">
        <f>INDEX(products!$A$1:$G$49,MATCH($D272,products!$A$1:$A$49,0),MATCH(orders!L$1,products!$A$1:$G$1,0))</f>
        <v>7.29</v>
      </c>
      <c r="M272" s="5">
        <f t="shared" si="8"/>
        <v>7.29</v>
      </c>
      <c r="N272" t="str">
        <f>IF(I272="Rob","Robusta",IF(I272="Exc","Excelsa",IF(I272="Ara","Arabica",IF(I272="Lib","Liberica",""))))</f>
        <v>Excelsa</v>
      </c>
      <c r="O272" t="str">
        <f t="shared" si="9"/>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INDEX(products!$A$1:$G$49,MATCH($D273,products!$A$1:$A$49,0),MATCH(orders!I$1,products!$A$1:$G$1,0))</f>
        <v>Ara</v>
      </c>
      <c r="J273" t="str">
        <f>INDEX(products!$A$1:$G$49,MATCH($D273,products!$A$1:$A$49,0),MATCH(orders!J$1,products!$A$1:$G$1,0))</f>
        <v>D</v>
      </c>
      <c r="K273" s="4">
        <f>INDEX(products!$A$1:$G$49,MATCH($D273,products!$A$1:$A$49,0),MATCH(orders!K$1,products!$A$1:$G$1,0))</f>
        <v>0.2</v>
      </c>
      <c r="L273" s="5">
        <f>INDEX(products!$A$1:$G$49,MATCH($D273,products!$A$1:$A$49,0),MATCH(orders!L$1,products!$A$1:$G$1,0))</f>
        <v>2.9849999999999999</v>
      </c>
      <c r="M273" s="5">
        <f t="shared" si="8"/>
        <v>11.94</v>
      </c>
      <c r="N273" t="str">
        <f>IF(I273="Rob","Robusta",IF(I273="Exc","Excelsa",IF(I273="Ara","Arabica",IF(I273="Lib","Liberica",""))))</f>
        <v>Arabica</v>
      </c>
      <c r="O273" t="str">
        <f t="shared" si="9"/>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INDEX(products!$A$1:$G$49,MATCH($D274,products!$A$1:$A$49,0),MATCH(orders!I$1,products!$A$1:$G$1,0))</f>
        <v>Rob</v>
      </c>
      <c r="J274" t="str">
        <f>INDEX(products!$A$1:$G$49,MATCH($D274,products!$A$1:$A$49,0),MATCH(orders!J$1,products!$A$1:$G$1,0))</f>
        <v>L</v>
      </c>
      <c r="K274" s="4">
        <f>INDEX(products!$A$1:$G$49,MATCH($D274,products!$A$1:$A$49,0),MATCH(orders!K$1,products!$A$1:$G$1,0))</f>
        <v>1</v>
      </c>
      <c r="L274" s="5">
        <f>INDEX(products!$A$1:$G$49,MATCH($D274,products!$A$1:$A$49,0),MATCH(orders!L$1,products!$A$1:$G$1,0))</f>
        <v>11.95</v>
      </c>
      <c r="M274" s="5">
        <f t="shared" si="8"/>
        <v>71.699999999999989</v>
      </c>
      <c r="N274" t="str">
        <f>IF(I274="Rob","Robusta",IF(I274="Exc","Excelsa",IF(I274="Ara","Arabica",IF(I274="Lib","Liberica",""))))</f>
        <v>Robusta</v>
      </c>
      <c r="O274" t="str">
        <f t="shared" si="9"/>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INDEX(products!$A$1:$G$49,MATCH($D275,products!$A$1:$A$49,0),MATCH(orders!I$1,products!$A$1:$G$1,0))</f>
        <v>Ara</v>
      </c>
      <c r="J275" t="str">
        <f>INDEX(products!$A$1:$G$49,MATCH($D275,products!$A$1:$A$49,0),MATCH(orders!J$1,products!$A$1:$G$1,0))</f>
        <v>L</v>
      </c>
      <c r="K275" s="4">
        <f>INDEX(products!$A$1:$G$49,MATCH($D275,products!$A$1:$A$49,0),MATCH(orders!K$1,products!$A$1:$G$1,0))</f>
        <v>0.2</v>
      </c>
      <c r="L275" s="5">
        <f>INDEX(products!$A$1:$G$49,MATCH($D275,products!$A$1:$A$49,0),MATCH(orders!L$1,products!$A$1:$G$1,0))</f>
        <v>3.8849999999999998</v>
      </c>
      <c r="M275" s="5">
        <f t="shared" si="8"/>
        <v>7.77</v>
      </c>
      <c r="N275" t="str">
        <f>IF(I275="Rob","Robusta",IF(I275="Exc","Excelsa",IF(I275="Ara","Arabica",IF(I275="Lib","Liberica",""))))</f>
        <v>Arabica</v>
      </c>
      <c r="O275" t="str">
        <f t="shared" si="9"/>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INDEX(products!$A$1:$G$49,MATCH($D276,products!$A$1:$A$49,0),MATCH(orders!I$1,products!$A$1:$G$1,0))</f>
        <v>Ara</v>
      </c>
      <c r="J276" t="str">
        <f>INDEX(products!$A$1:$G$49,MATCH($D276,products!$A$1:$A$49,0),MATCH(orders!J$1,products!$A$1:$G$1,0))</f>
        <v>M</v>
      </c>
      <c r="K276" s="4">
        <f>INDEX(products!$A$1:$G$49,MATCH($D276,products!$A$1:$A$49,0),MATCH(orders!K$1,products!$A$1:$G$1,0))</f>
        <v>2.5</v>
      </c>
      <c r="L276" s="5">
        <f>INDEX(products!$A$1:$G$49,MATCH($D276,products!$A$1:$A$49,0),MATCH(orders!L$1,products!$A$1:$G$1,0))</f>
        <v>25.874999999999996</v>
      </c>
      <c r="M276" s="5">
        <f t="shared" si="8"/>
        <v>25.874999999999996</v>
      </c>
      <c r="N276" t="str">
        <f>IF(I276="Rob","Robusta",IF(I276="Exc","Excelsa",IF(I276="Ara","Arabica",IF(I276="Lib","Liberica",""))))</f>
        <v>Arabica</v>
      </c>
      <c r="O276" t="str">
        <f t="shared" si="9"/>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INDEX(products!$A$1:$G$49,MATCH($D277,products!$A$1:$A$49,0),MATCH(orders!I$1,products!$A$1:$G$1,0))</f>
        <v>Exc</v>
      </c>
      <c r="J277" t="str">
        <f>INDEX(products!$A$1:$G$49,MATCH($D277,products!$A$1:$A$49,0),MATCH(orders!J$1,products!$A$1:$G$1,0))</f>
        <v>L</v>
      </c>
      <c r="K277" s="4">
        <f>INDEX(products!$A$1:$G$49,MATCH($D277,products!$A$1:$A$49,0),MATCH(orders!K$1,products!$A$1:$G$1,0))</f>
        <v>2.5</v>
      </c>
      <c r="L277" s="5">
        <f>INDEX(products!$A$1:$G$49,MATCH($D277,products!$A$1:$A$49,0),MATCH(orders!L$1,products!$A$1:$G$1,0))</f>
        <v>34.154999999999994</v>
      </c>
      <c r="M277" s="5">
        <f t="shared" si="8"/>
        <v>204.92999999999995</v>
      </c>
      <c r="N277" t="str">
        <f>IF(I277="Rob","Robusta",IF(I277="Exc","Excelsa",IF(I277="Ara","Arabica",IF(I277="Lib","Liberica",""))))</f>
        <v>Excelsa</v>
      </c>
      <c r="O277" t="str">
        <f t="shared" si="9"/>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INDEX(products!$A$1:$G$49,MATCH($D278,products!$A$1:$A$49,0),MATCH(orders!I$1,products!$A$1:$G$1,0))</f>
        <v>Rob</v>
      </c>
      <c r="J278" t="str">
        <f>INDEX(products!$A$1:$G$49,MATCH($D278,products!$A$1:$A$49,0),MATCH(orders!J$1,products!$A$1:$G$1,0))</f>
        <v>L</v>
      </c>
      <c r="K278" s="4">
        <f>INDEX(products!$A$1:$G$49,MATCH($D278,products!$A$1:$A$49,0),MATCH(orders!K$1,products!$A$1:$G$1,0))</f>
        <v>2.5</v>
      </c>
      <c r="L278" s="5">
        <f>INDEX(products!$A$1:$G$49,MATCH($D278,products!$A$1:$A$49,0),MATCH(orders!L$1,products!$A$1:$G$1,0))</f>
        <v>27.484999999999996</v>
      </c>
      <c r="M278" s="5">
        <f t="shared" si="8"/>
        <v>109.93999999999998</v>
      </c>
      <c r="N278" t="str">
        <f>IF(I278="Rob","Robusta",IF(I278="Exc","Excelsa",IF(I278="Ara","Arabica",IF(I278="Lib","Liberica",""))))</f>
        <v>Robusta</v>
      </c>
      <c r="O278" t="str">
        <f t="shared" si="9"/>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INDEX(products!$A$1:$G$49,MATCH($D279,products!$A$1:$A$49,0),MATCH(orders!I$1,products!$A$1:$G$1,0))</f>
        <v>Exc</v>
      </c>
      <c r="J279" t="str">
        <f>INDEX(products!$A$1:$G$49,MATCH($D279,products!$A$1:$A$49,0),MATCH(orders!J$1,products!$A$1:$G$1,0))</f>
        <v>L</v>
      </c>
      <c r="K279" s="4">
        <f>INDEX(products!$A$1:$G$49,MATCH($D279,products!$A$1:$A$49,0),MATCH(orders!K$1,products!$A$1:$G$1,0))</f>
        <v>1</v>
      </c>
      <c r="L279" s="5">
        <f>INDEX(products!$A$1:$G$49,MATCH($D279,products!$A$1:$A$49,0),MATCH(orders!L$1,products!$A$1:$G$1,0))</f>
        <v>14.85</v>
      </c>
      <c r="M279" s="5">
        <f t="shared" si="8"/>
        <v>89.1</v>
      </c>
      <c r="N279" t="str">
        <f>IF(I279="Rob","Robusta",IF(I279="Exc","Excelsa",IF(I279="Ara","Arabica",IF(I279="Lib","Liberica",""))))</f>
        <v>Excelsa</v>
      </c>
      <c r="O279" t="str">
        <f t="shared" si="9"/>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INDEX(products!$A$1:$G$49,MATCH($D280,products!$A$1:$A$49,0),MATCH(orders!I$1,products!$A$1:$G$1,0))</f>
        <v>Ara</v>
      </c>
      <c r="J280" t="str">
        <f>INDEX(products!$A$1:$G$49,MATCH($D280,products!$A$1:$A$49,0),MATCH(orders!J$1,products!$A$1:$G$1,0))</f>
        <v>L</v>
      </c>
      <c r="K280" s="4">
        <f>INDEX(products!$A$1:$G$49,MATCH($D280,products!$A$1:$A$49,0),MATCH(orders!K$1,products!$A$1:$G$1,0))</f>
        <v>0.2</v>
      </c>
      <c r="L280" s="5">
        <f>INDEX(products!$A$1:$G$49,MATCH($D280,products!$A$1:$A$49,0),MATCH(orders!L$1,products!$A$1:$G$1,0))</f>
        <v>3.8849999999999998</v>
      </c>
      <c r="M280" s="5">
        <f t="shared" si="8"/>
        <v>7.77</v>
      </c>
      <c r="N280" t="str">
        <f>IF(I280="Rob","Robusta",IF(I280="Exc","Excelsa",IF(I280="Ara","Arabica",IF(I280="Lib","Liberica",""))))</f>
        <v>Arabica</v>
      </c>
      <c r="O280" t="str">
        <f t="shared" si="9"/>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INDEX(products!$A$1:$G$49,MATCH($D281,products!$A$1:$A$49,0),MATCH(orders!I$1,products!$A$1:$G$1,0))</f>
        <v>Lib</v>
      </c>
      <c r="J281" t="str">
        <f>INDEX(products!$A$1:$G$49,MATCH($D281,products!$A$1:$A$49,0),MATCH(orders!J$1,products!$A$1:$G$1,0))</f>
        <v>M</v>
      </c>
      <c r="K281" s="4">
        <f>INDEX(products!$A$1:$G$49,MATCH($D281,products!$A$1:$A$49,0),MATCH(orders!K$1,products!$A$1:$G$1,0))</f>
        <v>2.5</v>
      </c>
      <c r="L281" s="5">
        <f>INDEX(products!$A$1:$G$49,MATCH($D281,products!$A$1:$A$49,0),MATCH(orders!L$1,products!$A$1:$G$1,0))</f>
        <v>33.464999999999996</v>
      </c>
      <c r="M281" s="5">
        <f t="shared" si="8"/>
        <v>33.464999999999996</v>
      </c>
      <c r="N281" t="str">
        <f>IF(I281="Rob","Robusta",IF(I281="Exc","Excelsa",IF(I281="Ara","Arabica",IF(I281="Lib","Liberica",""))))</f>
        <v>Liberica</v>
      </c>
      <c r="O281" t="str">
        <f t="shared" si="9"/>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INDEX(products!$A$1:$G$49,MATCH($D282,products!$A$1:$A$49,0),MATCH(orders!I$1,products!$A$1:$G$1,0))</f>
        <v>Exc</v>
      </c>
      <c r="J282" t="str">
        <f>INDEX(products!$A$1:$G$49,MATCH($D282,products!$A$1:$A$49,0),MATCH(orders!J$1,products!$A$1:$G$1,0))</f>
        <v>M</v>
      </c>
      <c r="K282" s="4">
        <f>INDEX(products!$A$1:$G$49,MATCH($D282,products!$A$1:$A$49,0),MATCH(orders!K$1,products!$A$1:$G$1,0))</f>
        <v>0.5</v>
      </c>
      <c r="L282" s="5">
        <f>INDEX(products!$A$1:$G$49,MATCH($D282,products!$A$1:$A$49,0),MATCH(orders!L$1,products!$A$1:$G$1,0))</f>
        <v>8.25</v>
      </c>
      <c r="M282" s="5">
        <f t="shared" si="8"/>
        <v>41.25</v>
      </c>
      <c r="N282" t="str">
        <f>IF(I282="Rob","Robusta",IF(I282="Exc","Excelsa",IF(I282="Ara","Arabica",IF(I282="Lib","Liberica",""))))</f>
        <v>Excelsa</v>
      </c>
      <c r="O282" t="str">
        <f t="shared" si="9"/>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INDEX(products!$A$1:$G$49,MATCH($D283,products!$A$1:$A$49,0),MATCH(orders!I$1,products!$A$1:$G$1,0))</f>
        <v>Exc</v>
      </c>
      <c r="J283" t="str">
        <f>INDEX(products!$A$1:$G$49,MATCH($D283,products!$A$1:$A$49,0),MATCH(orders!J$1,products!$A$1:$G$1,0))</f>
        <v>L</v>
      </c>
      <c r="K283" s="4">
        <f>INDEX(products!$A$1:$G$49,MATCH($D283,products!$A$1:$A$49,0),MATCH(orders!K$1,products!$A$1:$G$1,0))</f>
        <v>1</v>
      </c>
      <c r="L283" s="5">
        <f>INDEX(products!$A$1:$G$49,MATCH($D283,products!$A$1:$A$49,0),MATCH(orders!L$1,products!$A$1:$G$1,0))</f>
        <v>14.85</v>
      </c>
      <c r="M283" s="5">
        <f t="shared" si="8"/>
        <v>59.4</v>
      </c>
      <c r="N283" t="str">
        <f>IF(I283="Rob","Robusta",IF(I283="Exc","Excelsa",IF(I283="Ara","Arabica",IF(I283="Lib","Liberica",""))))</f>
        <v>Excelsa</v>
      </c>
      <c r="O283" t="str">
        <f t="shared" si="9"/>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INDEX(products!$A$1:$G$49,MATCH($D284,products!$A$1:$A$49,0),MATCH(orders!I$1,products!$A$1:$G$1,0))</f>
        <v>Ara</v>
      </c>
      <c r="J284" t="str">
        <f>INDEX(products!$A$1:$G$49,MATCH($D284,products!$A$1:$A$49,0),MATCH(orders!J$1,products!$A$1:$G$1,0))</f>
        <v>L</v>
      </c>
      <c r="K284" s="4">
        <f>INDEX(products!$A$1:$G$49,MATCH($D284,products!$A$1:$A$49,0),MATCH(orders!K$1,products!$A$1:$G$1,0))</f>
        <v>0.5</v>
      </c>
      <c r="L284" s="5">
        <f>INDEX(products!$A$1:$G$49,MATCH($D284,products!$A$1:$A$49,0),MATCH(orders!L$1,products!$A$1:$G$1,0))</f>
        <v>7.77</v>
      </c>
      <c r="M284" s="5">
        <f t="shared" si="8"/>
        <v>7.77</v>
      </c>
      <c r="N284" t="str">
        <f>IF(I284="Rob","Robusta",IF(I284="Exc","Excelsa",IF(I284="Ara","Arabica",IF(I284="Lib","Liberica",""))))</f>
        <v>Arabica</v>
      </c>
      <c r="O284" t="str">
        <f t="shared" si="9"/>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INDEX(products!$A$1:$G$49,MATCH($D285,products!$A$1:$A$49,0),MATCH(orders!I$1,products!$A$1:$G$1,0))</f>
        <v>Rob</v>
      </c>
      <c r="J285" t="str">
        <f>INDEX(products!$A$1:$G$49,MATCH($D285,products!$A$1:$A$49,0),MATCH(orders!J$1,products!$A$1:$G$1,0))</f>
        <v>D</v>
      </c>
      <c r="K285" s="4">
        <f>INDEX(products!$A$1:$G$49,MATCH($D285,products!$A$1:$A$49,0),MATCH(orders!K$1,products!$A$1:$G$1,0))</f>
        <v>0.5</v>
      </c>
      <c r="L285" s="5">
        <f>INDEX(products!$A$1:$G$49,MATCH($D285,products!$A$1:$A$49,0),MATCH(orders!L$1,products!$A$1:$G$1,0))</f>
        <v>5.3699999999999992</v>
      </c>
      <c r="M285" s="5">
        <f t="shared" si="8"/>
        <v>5.3699999999999992</v>
      </c>
      <c r="N285" t="str">
        <f>IF(I285="Rob","Robusta",IF(I285="Exc","Excelsa",IF(I285="Ara","Arabica",IF(I285="Lib","Liberica",""))))</f>
        <v>Robusta</v>
      </c>
      <c r="O285" t="str">
        <f t="shared" si="9"/>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INDEX(products!$A$1:$G$49,MATCH($D286,products!$A$1:$A$49,0),MATCH(orders!I$1,products!$A$1:$G$1,0))</f>
        <v>Exc</v>
      </c>
      <c r="J286" t="str">
        <f>INDEX(products!$A$1:$G$49,MATCH($D286,products!$A$1:$A$49,0),MATCH(orders!J$1,products!$A$1:$G$1,0))</f>
        <v>M</v>
      </c>
      <c r="K286" s="4">
        <f>INDEX(products!$A$1:$G$49,MATCH($D286,products!$A$1:$A$49,0),MATCH(orders!K$1,products!$A$1:$G$1,0))</f>
        <v>2.5</v>
      </c>
      <c r="L286" s="5">
        <f>INDEX(products!$A$1:$G$49,MATCH($D286,products!$A$1:$A$49,0),MATCH(orders!L$1,products!$A$1:$G$1,0))</f>
        <v>31.624999999999996</v>
      </c>
      <c r="M286" s="5">
        <f t="shared" si="8"/>
        <v>94.874999999999986</v>
      </c>
      <c r="N286" t="str">
        <f>IF(I286="Rob","Robusta",IF(I286="Exc","Excelsa",IF(I286="Ara","Arabica",IF(I286="Lib","Liberica",""))))</f>
        <v>Excelsa</v>
      </c>
      <c r="O286" t="str">
        <f t="shared" si="9"/>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INDEX(products!$A$1:$G$49,MATCH($D287,products!$A$1:$A$49,0),MATCH(orders!I$1,products!$A$1:$G$1,0))</f>
        <v>Lib</v>
      </c>
      <c r="J287" t="str">
        <f>INDEX(products!$A$1:$G$49,MATCH($D287,products!$A$1:$A$49,0),MATCH(orders!J$1,products!$A$1:$G$1,0))</f>
        <v>L</v>
      </c>
      <c r="K287" s="4">
        <f>INDEX(products!$A$1:$G$49,MATCH($D287,products!$A$1:$A$49,0),MATCH(orders!K$1,products!$A$1:$G$1,0))</f>
        <v>2.5</v>
      </c>
      <c r="L287" s="5">
        <f>INDEX(products!$A$1:$G$49,MATCH($D287,products!$A$1:$A$49,0),MATCH(orders!L$1,products!$A$1:$G$1,0))</f>
        <v>36.454999999999998</v>
      </c>
      <c r="M287" s="5">
        <f t="shared" si="8"/>
        <v>36.454999999999998</v>
      </c>
      <c r="N287" t="str">
        <f>IF(I287="Rob","Robusta",IF(I287="Exc","Excelsa",IF(I287="Ara","Arabica",IF(I287="Lib","Liberica",""))))</f>
        <v>Liberica</v>
      </c>
      <c r="O287" t="str">
        <f t="shared" si="9"/>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INDEX(products!$A$1:$G$49,MATCH($D288,products!$A$1:$A$49,0),MATCH(orders!I$1,products!$A$1:$G$1,0))</f>
        <v>Ara</v>
      </c>
      <c r="J288" t="str">
        <f>INDEX(products!$A$1:$G$49,MATCH($D288,products!$A$1:$A$49,0),MATCH(orders!J$1,products!$A$1:$G$1,0))</f>
        <v>M</v>
      </c>
      <c r="K288" s="4">
        <f>INDEX(products!$A$1:$G$49,MATCH($D288,products!$A$1:$A$49,0),MATCH(orders!K$1,products!$A$1:$G$1,0))</f>
        <v>0.2</v>
      </c>
      <c r="L288" s="5">
        <f>INDEX(products!$A$1:$G$49,MATCH($D288,products!$A$1:$A$49,0),MATCH(orders!L$1,products!$A$1:$G$1,0))</f>
        <v>3.375</v>
      </c>
      <c r="M288" s="5">
        <f t="shared" si="8"/>
        <v>13.5</v>
      </c>
      <c r="N288" t="str">
        <f>IF(I288="Rob","Robusta",IF(I288="Exc","Excelsa",IF(I288="Ara","Arabica",IF(I288="Lib","Liberica",""))))</f>
        <v>Arabica</v>
      </c>
      <c r="O288" t="str">
        <f t="shared" si="9"/>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INDEX(products!$A$1:$G$49,MATCH($D289,products!$A$1:$A$49,0),MATCH(orders!I$1,products!$A$1:$G$1,0))</f>
        <v>Rob</v>
      </c>
      <c r="J289" t="str">
        <f>INDEX(products!$A$1:$G$49,MATCH($D289,products!$A$1:$A$49,0),MATCH(orders!J$1,products!$A$1:$G$1,0))</f>
        <v>L</v>
      </c>
      <c r="K289" s="4">
        <f>INDEX(products!$A$1:$G$49,MATCH($D289,products!$A$1:$A$49,0),MATCH(orders!K$1,products!$A$1:$G$1,0))</f>
        <v>0.2</v>
      </c>
      <c r="L289" s="5">
        <f>INDEX(products!$A$1:$G$49,MATCH($D289,products!$A$1:$A$49,0),MATCH(orders!L$1,products!$A$1:$G$1,0))</f>
        <v>3.5849999999999995</v>
      </c>
      <c r="M289" s="5">
        <f t="shared" si="8"/>
        <v>14.339999999999998</v>
      </c>
      <c r="N289" t="str">
        <f>IF(I289="Rob","Robusta",IF(I289="Exc","Excelsa",IF(I289="Ara","Arabica",IF(I289="Lib","Liberica",""))))</f>
        <v>Robusta</v>
      </c>
      <c r="O289" t="str">
        <f t="shared" si="9"/>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INDEX(products!$A$1:$G$49,MATCH($D290,products!$A$1:$A$49,0),MATCH(orders!I$1,products!$A$1:$G$1,0))</f>
        <v>Exc</v>
      </c>
      <c r="J290" t="str">
        <f>INDEX(products!$A$1:$G$49,MATCH($D290,products!$A$1:$A$49,0),MATCH(orders!J$1,products!$A$1:$G$1,0))</f>
        <v>M</v>
      </c>
      <c r="K290" s="4">
        <f>INDEX(products!$A$1:$G$49,MATCH($D290,products!$A$1:$A$49,0),MATCH(orders!K$1,products!$A$1:$G$1,0))</f>
        <v>0.5</v>
      </c>
      <c r="L290" s="5">
        <f>INDEX(products!$A$1:$G$49,MATCH($D290,products!$A$1:$A$49,0),MATCH(orders!L$1,products!$A$1:$G$1,0))</f>
        <v>8.25</v>
      </c>
      <c r="M290" s="5">
        <f t="shared" si="8"/>
        <v>8.25</v>
      </c>
      <c r="N290" t="str">
        <f>IF(I290="Rob","Robusta",IF(I290="Exc","Excelsa",IF(I290="Ara","Arabica",IF(I290="Lib","Liberica",""))))</f>
        <v>Excelsa</v>
      </c>
      <c r="O290" t="str">
        <f t="shared" si="9"/>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INDEX(products!$A$1:$G$49,MATCH($D291,products!$A$1:$A$49,0),MATCH(orders!I$1,products!$A$1:$G$1,0))</f>
        <v>Rob</v>
      </c>
      <c r="J291" t="str">
        <f>INDEX(products!$A$1:$G$49,MATCH($D291,products!$A$1:$A$49,0),MATCH(orders!J$1,products!$A$1:$G$1,0))</f>
        <v>D</v>
      </c>
      <c r="K291" s="4">
        <f>INDEX(products!$A$1:$G$49,MATCH($D291,products!$A$1:$A$49,0),MATCH(orders!K$1,products!$A$1:$G$1,0))</f>
        <v>0.2</v>
      </c>
      <c r="L291" s="5">
        <f>INDEX(products!$A$1:$G$49,MATCH($D291,products!$A$1:$A$49,0),MATCH(orders!L$1,products!$A$1:$G$1,0))</f>
        <v>2.6849999999999996</v>
      </c>
      <c r="M291" s="5">
        <f t="shared" si="8"/>
        <v>13.424999999999997</v>
      </c>
      <c r="N291" t="str">
        <f>IF(I291="Rob","Robusta",IF(I291="Exc","Excelsa",IF(I291="Ara","Arabica",IF(I291="Lib","Liberica",""))))</f>
        <v>Robusta</v>
      </c>
      <c r="O291" t="str">
        <f t="shared" si="9"/>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INDEX(products!$A$1:$G$49,MATCH($D292,products!$A$1:$A$49,0),MATCH(orders!I$1,products!$A$1:$G$1,0))</f>
        <v>Ara</v>
      </c>
      <c r="J292" t="str">
        <f>INDEX(products!$A$1:$G$49,MATCH($D292,products!$A$1:$A$49,0),MATCH(orders!J$1,products!$A$1:$G$1,0))</f>
        <v>D</v>
      </c>
      <c r="K292" s="4">
        <f>INDEX(products!$A$1:$G$49,MATCH($D292,products!$A$1:$A$49,0),MATCH(orders!K$1,products!$A$1:$G$1,0))</f>
        <v>1</v>
      </c>
      <c r="L292" s="5">
        <f>INDEX(products!$A$1:$G$49,MATCH($D292,products!$A$1:$A$49,0),MATCH(orders!L$1,products!$A$1:$G$1,0))</f>
        <v>9.9499999999999993</v>
      </c>
      <c r="M292" s="5">
        <f t="shared" si="8"/>
        <v>49.75</v>
      </c>
      <c r="N292" t="str">
        <f>IF(I292="Rob","Robusta",IF(I292="Exc","Excelsa",IF(I292="Ara","Arabica",IF(I292="Lib","Liberica",""))))</f>
        <v>Arabica</v>
      </c>
      <c r="O292" t="str">
        <f t="shared" si="9"/>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INDEX(products!$A$1:$G$49,MATCH($D293,products!$A$1:$A$49,0),MATCH(orders!I$1,products!$A$1:$G$1,0))</f>
        <v>Exc</v>
      </c>
      <c r="J293" t="str">
        <f>INDEX(products!$A$1:$G$49,MATCH($D293,products!$A$1:$A$49,0),MATCH(orders!J$1,products!$A$1:$G$1,0))</f>
        <v>M</v>
      </c>
      <c r="K293" s="4">
        <f>INDEX(products!$A$1:$G$49,MATCH($D293,products!$A$1:$A$49,0),MATCH(orders!K$1,products!$A$1:$G$1,0))</f>
        <v>0.5</v>
      </c>
      <c r="L293" s="5">
        <f>INDEX(products!$A$1:$G$49,MATCH($D293,products!$A$1:$A$49,0),MATCH(orders!L$1,products!$A$1:$G$1,0))</f>
        <v>8.25</v>
      </c>
      <c r="M293" s="5">
        <f t="shared" si="8"/>
        <v>16.5</v>
      </c>
      <c r="N293" t="str">
        <f>IF(I293="Rob","Robusta",IF(I293="Exc","Excelsa",IF(I293="Ara","Arabica",IF(I293="Lib","Liberica",""))))</f>
        <v>Excelsa</v>
      </c>
      <c r="O293" t="str">
        <f t="shared" si="9"/>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INDEX(products!$A$1:$G$49,MATCH($D294,products!$A$1:$A$49,0),MATCH(orders!I$1,products!$A$1:$G$1,0))</f>
        <v>Ara</v>
      </c>
      <c r="J294" t="str">
        <f>INDEX(products!$A$1:$G$49,MATCH($D294,products!$A$1:$A$49,0),MATCH(orders!J$1,products!$A$1:$G$1,0))</f>
        <v>D</v>
      </c>
      <c r="K294" s="4">
        <f>INDEX(products!$A$1:$G$49,MATCH($D294,products!$A$1:$A$49,0),MATCH(orders!K$1,products!$A$1:$G$1,0))</f>
        <v>0.5</v>
      </c>
      <c r="L294" s="5">
        <f>INDEX(products!$A$1:$G$49,MATCH($D294,products!$A$1:$A$49,0),MATCH(orders!L$1,products!$A$1:$G$1,0))</f>
        <v>5.97</v>
      </c>
      <c r="M294" s="5">
        <f t="shared" si="8"/>
        <v>17.91</v>
      </c>
      <c r="N294" t="str">
        <f>IF(I294="Rob","Robusta",IF(I294="Exc","Excelsa",IF(I294="Ara","Arabica",IF(I294="Lib","Liberica",""))))</f>
        <v>Arabica</v>
      </c>
      <c r="O294" t="str">
        <f t="shared" si="9"/>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INDEX(products!$A$1:$G$49,MATCH($D295,products!$A$1:$A$49,0),MATCH(orders!I$1,products!$A$1:$G$1,0))</f>
        <v>Ara</v>
      </c>
      <c r="J295" t="str">
        <f>INDEX(products!$A$1:$G$49,MATCH($D295,products!$A$1:$A$49,0),MATCH(orders!J$1,products!$A$1:$G$1,0))</f>
        <v>D</v>
      </c>
      <c r="K295" s="4">
        <f>INDEX(products!$A$1:$G$49,MATCH($D295,products!$A$1:$A$49,0),MATCH(orders!K$1,products!$A$1:$G$1,0))</f>
        <v>0.5</v>
      </c>
      <c r="L295" s="5">
        <f>INDEX(products!$A$1:$G$49,MATCH($D295,products!$A$1:$A$49,0),MATCH(orders!L$1,products!$A$1:$G$1,0))</f>
        <v>5.97</v>
      </c>
      <c r="M295" s="5">
        <f t="shared" si="8"/>
        <v>29.849999999999998</v>
      </c>
      <c r="N295" t="str">
        <f>IF(I295="Rob","Robusta",IF(I295="Exc","Excelsa",IF(I295="Ara","Arabica",IF(I295="Lib","Liberica",""))))</f>
        <v>Arabica</v>
      </c>
      <c r="O295" t="str">
        <f t="shared" si="9"/>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INDEX(products!$A$1:$G$49,MATCH($D296,products!$A$1:$A$49,0),MATCH(orders!I$1,products!$A$1:$G$1,0))</f>
        <v>Exc</v>
      </c>
      <c r="J296" t="str">
        <f>INDEX(products!$A$1:$G$49,MATCH($D296,products!$A$1:$A$49,0),MATCH(orders!J$1,products!$A$1:$G$1,0))</f>
        <v>L</v>
      </c>
      <c r="K296" s="4">
        <f>INDEX(products!$A$1:$G$49,MATCH($D296,products!$A$1:$A$49,0),MATCH(orders!K$1,products!$A$1:$G$1,0))</f>
        <v>1</v>
      </c>
      <c r="L296" s="5">
        <f>INDEX(products!$A$1:$G$49,MATCH($D296,products!$A$1:$A$49,0),MATCH(orders!L$1,products!$A$1:$G$1,0))</f>
        <v>14.85</v>
      </c>
      <c r="M296" s="5">
        <f t="shared" si="8"/>
        <v>44.55</v>
      </c>
      <c r="N296" t="str">
        <f>IF(I296="Rob","Robusta",IF(I296="Exc","Excelsa",IF(I296="Ara","Arabica",IF(I296="Lib","Liberica",""))))</f>
        <v>Excelsa</v>
      </c>
      <c r="O296" t="str">
        <f t="shared" si="9"/>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INDEX(products!$A$1:$G$49,MATCH($D297,products!$A$1:$A$49,0),MATCH(orders!I$1,products!$A$1:$G$1,0))</f>
        <v>Exc</v>
      </c>
      <c r="J297" t="str">
        <f>INDEX(products!$A$1:$G$49,MATCH($D297,products!$A$1:$A$49,0),MATCH(orders!J$1,products!$A$1:$G$1,0))</f>
        <v>M</v>
      </c>
      <c r="K297" s="4">
        <f>INDEX(products!$A$1:$G$49,MATCH($D297,products!$A$1:$A$49,0),MATCH(orders!K$1,products!$A$1:$G$1,0))</f>
        <v>1</v>
      </c>
      <c r="L297" s="5">
        <f>INDEX(products!$A$1:$G$49,MATCH($D297,products!$A$1:$A$49,0),MATCH(orders!L$1,products!$A$1:$G$1,0))</f>
        <v>13.75</v>
      </c>
      <c r="M297" s="5">
        <f t="shared" si="8"/>
        <v>27.5</v>
      </c>
      <c r="N297" t="str">
        <f>IF(I297="Rob","Robusta",IF(I297="Exc","Excelsa",IF(I297="Ara","Arabica",IF(I297="Lib","Liberica",""))))</f>
        <v>Excelsa</v>
      </c>
      <c r="O297" t="str">
        <f t="shared" si="9"/>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INDEX(products!$A$1:$G$49,MATCH($D298,products!$A$1:$A$49,0),MATCH(orders!I$1,products!$A$1:$G$1,0))</f>
        <v>Rob</v>
      </c>
      <c r="J298" t="str">
        <f>INDEX(products!$A$1:$G$49,MATCH($D298,products!$A$1:$A$49,0),MATCH(orders!J$1,products!$A$1:$G$1,0))</f>
        <v>M</v>
      </c>
      <c r="K298" s="4">
        <f>INDEX(products!$A$1:$G$49,MATCH($D298,products!$A$1:$A$49,0),MATCH(orders!K$1,products!$A$1:$G$1,0))</f>
        <v>0.5</v>
      </c>
      <c r="L298" s="5">
        <f>INDEX(products!$A$1:$G$49,MATCH($D298,products!$A$1:$A$49,0),MATCH(orders!L$1,products!$A$1:$G$1,0))</f>
        <v>5.97</v>
      </c>
      <c r="M298" s="5">
        <f t="shared" si="8"/>
        <v>35.82</v>
      </c>
      <c r="N298" t="str">
        <f>IF(I298="Rob","Robusta",IF(I298="Exc","Excelsa",IF(I298="Ara","Arabica",IF(I298="Lib","Liberica",""))))</f>
        <v>Robusta</v>
      </c>
      <c r="O298" t="str">
        <f t="shared" si="9"/>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INDEX(products!$A$1:$G$49,MATCH($D299,products!$A$1:$A$49,0),MATCH(orders!I$1,products!$A$1:$G$1,0))</f>
        <v>Rob</v>
      </c>
      <c r="J299" t="str">
        <f>INDEX(products!$A$1:$G$49,MATCH($D299,products!$A$1:$A$49,0),MATCH(orders!J$1,products!$A$1:$G$1,0))</f>
        <v>D</v>
      </c>
      <c r="K299" s="4">
        <f>INDEX(products!$A$1:$G$49,MATCH($D299,products!$A$1:$A$49,0),MATCH(orders!K$1,products!$A$1:$G$1,0))</f>
        <v>0.5</v>
      </c>
      <c r="L299" s="5">
        <f>INDEX(products!$A$1:$G$49,MATCH($D299,products!$A$1:$A$49,0),MATCH(orders!L$1,products!$A$1:$G$1,0))</f>
        <v>5.3699999999999992</v>
      </c>
      <c r="M299" s="5">
        <f t="shared" si="8"/>
        <v>16.11</v>
      </c>
      <c r="N299" t="str">
        <f>IF(I299="Rob","Robusta",IF(I299="Exc","Excelsa",IF(I299="Ara","Arabica",IF(I299="Lib","Liberica",""))))</f>
        <v>Robusta</v>
      </c>
      <c r="O299" t="str">
        <f t="shared" si="9"/>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INDEX(products!$A$1:$G$49,MATCH($D300,products!$A$1:$A$49,0),MATCH(orders!I$1,products!$A$1:$G$1,0))</f>
        <v>Exc</v>
      </c>
      <c r="J300" t="str">
        <f>INDEX(products!$A$1:$G$49,MATCH($D300,products!$A$1:$A$49,0),MATCH(orders!J$1,products!$A$1:$G$1,0))</f>
        <v>L</v>
      </c>
      <c r="K300" s="4">
        <f>INDEX(products!$A$1:$G$49,MATCH($D300,products!$A$1:$A$49,0),MATCH(orders!K$1,products!$A$1:$G$1,0))</f>
        <v>0.2</v>
      </c>
      <c r="L300" s="5">
        <f>INDEX(products!$A$1:$G$49,MATCH($D300,products!$A$1:$A$49,0),MATCH(orders!L$1,products!$A$1:$G$1,0))</f>
        <v>4.4550000000000001</v>
      </c>
      <c r="M300" s="5">
        <f t="shared" si="8"/>
        <v>26.73</v>
      </c>
      <c r="N300" t="str">
        <f>IF(I300="Rob","Robusta",IF(I300="Exc","Excelsa",IF(I300="Ara","Arabica",IF(I300="Lib","Liberica",""))))</f>
        <v>Excelsa</v>
      </c>
      <c r="O300" t="str">
        <f t="shared" si="9"/>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INDEX(products!$A$1:$G$49,MATCH($D301,products!$A$1:$A$49,0),MATCH(orders!I$1,products!$A$1:$G$1,0))</f>
        <v>Exc</v>
      </c>
      <c r="J301" t="str">
        <f>INDEX(products!$A$1:$G$49,MATCH($D301,products!$A$1:$A$49,0),MATCH(orders!J$1,products!$A$1:$G$1,0))</f>
        <v>L</v>
      </c>
      <c r="K301" s="4">
        <f>INDEX(products!$A$1:$G$49,MATCH($D301,products!$A$1:$A$49,0),MATCH(orders!K$1,products!$A$1:$G$1,0))</f>
        <v>2.5</v>
      </c>
      <c r="L301" s="5">
        <f>INDEX(products!$A$1:$G$49,MATCH($D301,products!$A$1:$A$49,0),MATCH(orders!L$1,products!$A$1:$G$1,0))</f>
        <v>34.154999999999994</v>
      </c>
      <c r="M301" s="5">
        <f t="shared" si="8"/>
        <v>204.92999999999995</v>
      </c>
      <c r="N301" t="str">
        <f>IF(I301="Rob","Robusta",IF(I301="Exc","Excelsa",IF(I301="Ara","Arabica",IF(I301="Lib","Liberica",""))))</f>
        <v>Excelsa</v>
      </c>
      <c r="O301" t="str">
        <f t="shared" si="9"/>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INDEX(products!$A$1:$G$49,MATCH($D302,products!$A$1:$A$49,0),MATCH(orders!I$1,products!$A$1:$G$1,0))</f>
        <v>Ara</v>
      </c>
      <c r="J302" t="str">
        <f>INDEX(products!$A$1:$G$49,MATCH($D302,products!$A$1:$A$49,0),MATCH(orders!J$1,products!$A$1:$G$1,0))</f>
        <v>L</v>
      </c>
      <c r="K302" s="4">
        <f>INDEX(products!$A$1:$G$49,MATCH($D302,products!$A$1:$A$49,0),MATCH(orders!K$1,products!$A$1:$G$1,0))</f>
        <v>1</v>
      </c>
      <c r="L302" s="5">
        <f>INDEX(products!$A$1:$G$49,MATCH($D302,products!$A$1:$A$49,0),MATCH(orders!L$1,products!$A$1:$G$1,0))</f>
        <v>12.95</v>
      </c>
      <c r="M302" s="5">
        <f t="shared" si="8"/>
        <v>38.849999999999994</v>
      </c>
      <c r="N302" t="str">
        <f>IF(I302="Rob","Robusta",IF(I302="Exc","Excelsa",IF(I302="Ara","Arabica",IF(I302="Lib","Liberica",""))))</f>
        <v>Arabica</v>
      </c>
      <c r="O302" t="str">
        <f t="shared" si="9"/>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INDEX(products!$A$1:$G$49,MATCH($D303,products!$A$1:$A$49,0),MATCH(orders!I$1,products!$A$1:$G$1,0))</f>
        <v>Lib</v>
      </c>
      <c r="J303" t="str">
        <f>INDEX(products!$A$1:$G$49,MATCH($D303,products!$A$1:$A$49,0),MATCH(orders!J$1,products!$A$1:$G$1,0))</f>
        <v>D</v>
      </c>
      <c r="K303" s="4">
        <f>INDEX(products!$A$1:$G$49,MATCH($D303,products!$A$1:$A$49,0),MATCH(orders!K$1,products!$A$1:$G$1,0))</f>
        <v>0.2</v>
      </c>
      <c r="L303" s="5">
        <f>INDEX(products!$A$1:$G$49,MATCH($D303,products!$A$1:$A$49,0),MATCH(orders!L$1,products!$A$1:$G$1,0))</f>
        <v>3.8849999999999998</v>
      </c>
      <c r="M303" s="5">
        <f t="shared" si="8"/>
        <v>15.54</v>
      </c>
      <c r="N303" t="str">
        <f>IF(I303="Rob","Robusta",IF(I303="Exc","Excelsa",IF(I303="Ara","Arabica",IF(I303="Lib","Liberica",""))))</f>
        <v>Liberica</v>
      </c>
      <c r="O303" t="str">
        <f t="shared" si="9"/>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INDEX(products!$A$1:$G$49,MATCH($D304,products!$A$1:$A$49,0),MATCH(orders!I$1,products!$A$1:$G$1,0))</f>
        <v>Ara</v>
      </c>
      <c r="J304" t="str">
        <f>INDEX(products!$A$1:$G$49,MATCH($D304,products!$A$1:$A$49,0),MATCH(orders!J$1,products!$A$1:$G$1,0))</f>
        <v>M</v>
      </c>
      <c r="K304" s="4">
        <f>INDEX(products!$A$1:$G$49,MATCH($D304,products!$A$1:$A$49,0),MATCH(orders!K$1,products!$A$1:$G$1,0))</f>
        <v>0.5</v>
      </c>
      <c r="L304" s="5">
        <f>INDEX(products!$A$1:$G$49,MATCH($D304,products!$A$1:$A$49,0),MATCH(orders!L$1,products!$A$1:$G$1,0))</f>
        <v>6.75</v>
      </c>
      <c r="M304" s="5">
        <f t="shared" si="8"/>
        <v>6.75</v>
      </c>
      <c r="N304" t="str">
        <f>IF(I304="Rob","Robusta",IF(I304="Exc","Excelsa",IF(I304="Ara","Arabica",IF(I304="Lib","Liberica",""))))</f>
        <v>Arabica</v>
      </c>
      <c r="O304" t="str">
        <f t="shared" si="9"/>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INDEX(products!$A$1:$G$49,MATCH($D305,products!$A$1:$A$49,0),MATCH(orders!I$1,products!$A$1:$G$1,0))</f>
        <v>Exc</v>
      </c>
      <c r="J305" t="str">
        <f>INDEX(products!$A$1:$G$49,MATCH($D305,products!$A$1:$A$49,0),MATCH(orders!J$1,products!$A$1:$G$1,0))</f>
        <v>D</v>
      </c>
      <c r="K305" s="4">
        <f>INDEX(products!$A$1:$G$49,MATCH($D305,products!$A$1:$A$49,0),MATCH(orders!K$1,products!$A$1:$G$1,0))</f>
        <v>2.5</v>
      </c>
      <c r="L305" s="5">
        <f>INDEX(products!$A$1:$G$49,MATCH($D305,products!$A$1:$A$49,0),MATCH(orders!L$1,products!$A$1:$G$1,0))</f>
        <v>27.945</v>
      </c>
      <c r="M305" s="5">
        <f t="shared" si="8"/>
        <v>111.78</v>
      </c>
      <c r="N305" t="str">
        <f>IF(I305="Rob","Robusta",IF(I305="Exc","Excelsa",IF(I305="Ara","Arabica",IF(I305="Lib","Liberica",""))))</f>
        <v>Excelsa</v>
      </c>
      <c r="O305" t="str">
        <f t="shared" si="9"/>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INDEX(products!$A$1:$G$49,MATCH($D306,products!$A$1:$A$49,0),MATCH(orders!I$1,products!$A$1:$G$1,0))</f>
        <v>Ara</v>
      </c>
      <c r="J306" t="str">
        <f>INDEX(products!$A$1:$G$49,MATCH($D306,products!$A$1:$A$49,0),MATCH(orders!J$1,products!$A$1:$G$1,0))</f>
        <v>L</v>
      </c>
      <c r="K306" s="4">
        <f>INDEX(products!$A$1:$G$49,MATCH($D306,products!$A$1:$A$49,0),MATCH(orders!K$1,products!$A$1:$G$1,0))</f>
        <v>0.2</v>
      </c>
      <c r="L306" s="5">
        <f>INDEX(products!$A$1:$G$49,MATCH($D306,products!$A$1:$A$49,0),MATCH(orders!L$1,products!$A$1:$G$1,0))</f>
        <v>3.8849999999999998</v>
      </c>
      <c r="M306" s="5">
        <f t="shared" si="8"/>
        <v>3.8849999999999998</v>
      </c>
      <c r="N306" t="str">
        <f>IF(I306="Rob","Robusta",IF(I306="Exc","Excelsa",IF(I306="Ara","Arabica",IF(I306="Lib","Liberica",""))))</f>
        <v>Arabica</v>
      </c>
      <c r="O306" t="str">
        <f t="shared" si="9"/>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INDEX(products!$A$1:$G$49,MATCH($D307,products!$A$1:$A$49,0),MATCH(orders!I$1,products!$A$1:$G$1,0))</f>
        <v>Lib</v>
      </c>
      <c r="J307" t="str">
        <f>INDEX(products!$A$1:$G$49,MATCH($D307,products!$A$1:$A$49,0),MATCH(orders!J$1,products!$A$1:$G$1,0))</f>
        <v>M</v>
      </c>
      <c r="K307" s="4">
        <f>INDEX(products!$A$1:$G$49,MATCH($D307,products!$A$1:$A$49,0),MATCH(orders!K$1,products!$A$1:$G$1,0))</f>
        <v>0.2</v>
      </c>
      <c r="L307" s="5">
        <f>INDEX(products!$A$1:$G$49,MATCH($D307,products!$A$1:$A$49,0),MATCH(orders!L$1,products!$A$1:$G$1,0))</f>
        <v>4.3650000000000002</v>
      </c>
      <c r="M307" s="5">
        <f t="shared" si="8"/>
        <v>21.825000000000003</v>
      </c>
      <c r="N307" t="str">
        <f>IF(I307="Rob","Robusta",IF(I307="Exc","Excelsa",IF(I307="Ara","Arabica",IF(I307="Lib","Liberica",""))))</f>
        <v>Liberica</v>
      </c>
      <c r="O307" t="str">
        <f t="shared" si="9"/>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INDEX(products!$A$1:$G$49,MATCH($D308,products!$A$1:$A$49,0),MATCH(orders!I$1,products!$A$1:$G$1,0))</f>
        <v>Rob</v>
      </c>
      <c r="J308" t="str">
        <f>INDEX(products!$A$1:$G$49,MATCH($D308,products!$A$1:$A$49,0),MATCH(orders!J$1,products!$A$1:$G$1,0))</f>
        <v>M</v>
      </c>
      <c r="K308" s="4">
        <f>INDEX(products!$A$1:$G$49,MATCH($D308,products!$A$1:$A$49,0),MATCH(orders!K$1,products!$A$1:$G$1,0))</f>
        <v>0.2</v>
      </c>
      <c r="L308" s="5">
        <f>INDEX(products!$A$1:$G$49,MATCH($D308,products!$A$1:$A$49,0),MATCH(orders!L$1,products!$A$1:$G$1,0))</f>
        <v>2.9849999999999999</v>
      </c>
      <c r="M308" s="5">
        <f t="shared" si="8"/>
        <v>14.924999999999999</v>
      </c>
      <c r="N308" t="str">
        <f>IF(I308="Rob","Robusta",IF(I308="Exc","Excelsa",IF(I308="Ara","Arabica",IF(I308="Lib","Liberica",""))))</f>
        <v>Robusta</v>
      </c>
      <c r="O308" t="str">
        <f t="shared" si="9"/>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INDEX(products!$A$1:$G$49,MATCH($D309,products!$A$1:$A$49,0),MATCH(orders!I$1,products!$A$1:$G$1,0))</f>
        <v>Ara</v>
      </c>
      <c r="J309" t="str">
        <f>INDEX(products!$A$1:$G$49,MATCH($D309,products!$A$1:$A$49,0),MATCH(orders!J$1,products!$A$1:$G$1,0))</f>
        <v>M</v>
      </c>
      <c r="K309" s="4">
        <f>INDEX(products!$A$1:$G$49,MATCH($D309,products!$A$1:$A$49,0),MATCH(orders!K$1,products!$A$1:$G$1,0))</f>
        <v>1</v>
      </c>
      <c r="L309" s="5">
        <f>INDEX(products!$A$1:$G$49,MATCH($D309,products!$A$1:$A$49,0),MATCH(orders!L$1,products!$A$1:$G$1,0))</f>
        <v>11.25</v>
      </c>
      <c r="M309" s="5">
        <f t="shared" si="8"/>
        <v>33.75</v>
      </c>
      <c r="N309" t="str">
        <f>IF(I309="Rob","Robusta",IF(I309="Exc","Excelsa",IF(I309="Ara","Arabica",IF(I309="Lib","Liberica",""))))</f>
        <v>Arabica</v>
      </c>
      <c r="O309" t="str">
        <f t="shared" si="9"/>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INDEX(products!$A$1:$G$49,MATCH($D310,products!$A$1:$A$49,0),MATCH(orders!I$1,products!$A$1:$G$1,0))</f>
        <v>Ara</v>
      </c>
      <c r="J310" t="str">
        <f>INDEX(products!$A$1:$G$49,MATCH($D310,products!$A$1:$A$49,0),MATCH(orders!J$1,products!$A$1:$G$1,0))</f>
        <v>M</v>
      </c>
      <c r="K310" s="4">
        <f>INDEX(products!$A$1:$G$49,MATCH($D310,products!$A$1:$A$49,0),MATCH(orders!K$1,products!$A$1:$G$1,0))</f>
        <v>1</v>
      </c>
      <c r="L310" s="5">
        <f>INDEX(products!$A$1:$G$49,MATCH($D310,products!$A$1:$A$49,0),MATCH(orders!L$1,products!$A$1:$G$1,0))</f>
        <v>11.25</v>
      </c>
      <c r="M310" s="5">
        <f t="shared" si="8"/>
        <v>33.75</v>
      </c>
      <c r="N310" t="str">
        <f>IF(I310="Rob","Robusta",IF(I310="Exc","Excelsa",IF(I310="Ara","Arabica",IF(I310="Lib","Liberica",""))))</f>
        <v>Arabica</v>
      </c>
      <c r="O310" t="str">
        <f t="shared" si="9"/>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INDEX(products!$A$1:$G$49,MATCH($D311,products!$A$1:$A$49,0),MATCH(orders!I$1,products!$A$1:$G$1,0))</f>
        <v>Lib</v>
      </c>
      <c r="J311" t="str">
        <f>INDEX(products!$A$1:$G$49,MATCH($D311,products!$A$1:$A$49,0),MATCH(orders!J$1,products!$A$1:$G$1,0))</f>
        <v>M</v>
      </c>
      <c r="K311" s="4">
        <f>INDEX(products!$A$1:$G$49,MATCH($D311,products!$A$1:$A$49,0),MATCH(orders!K$1,products!$A$1:$G$1,0))</f>
        <v>0.2</v>
      </c>
      <c r="L311" s="5">
        <f>INDEX(products!$A$1:$G$49,MATCH($D311,products!$A$1:$A$49,0),MATCH(orders!L$1,products!$A$1:$G$1,0))</f>
        <v>4.3650000000000002</v>
      </c>
      <c r="M311" s="5">
        <f t="shared" si="8"/>
        <v>26.19</v>
      </c>
      <c r="N311" t="str">
        <f>IF(I311="Rob","Robusta",IF(I311="Exc","Excelsa",IF(I311="Ara","Arabica",IF(I311="Lib","Liberica",""))))</f>
        <v>Liberica</v>
      </c>
      <c r="O311" t="str">
        <f t="shared" si="9"/>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INDEX(products!$A$1:$G$49,MATCH($D312,products!$A$1:$A$49,0),MATCH(orders!I$1,products!$A$1:$G$1,0))</f>
        <v>Exc</v>
      </c>
      <c r="J312" t="str">
        <f>INDEX(products!$A$1:$G$49,MATCH($D312,products!$A$1:$A$49,0),MATCH(orders!J$1,products!$A$1:$G$1,0))</f>
        <v>L</v>
      </c>
      <c r="K312" s="4">
        <f>INDEX(products!$A$1:$G$49,MATCH($D312,products!$A$1:$A$49,0),MATCH(orders!K$1,products!$A$1:$G$1,0))</f>
        <v>1</v>
      </c>
      <c r="L312" s="5">
        <f>INDEX(products!$A$1:$G$49,MATCH($D312,products!$A$1:$A$49,0),MATCH(orders!L$1,products!$A$1:$G$1,0))</f>
        <v>14.85</v>
      </c>
      <c r="M312" s="5">
        <f t="shared" si="8"/>
        <v>14.85</v>
      </c>
      <c r="N312" t="str">
        <f>IF(I312="Rob","Robusta",IF(I312="Exc","Excelsa",IF(I312="Ara","Arabica",IF(I312="Lib","Liberica",""))))</f>
        <v>Excelsa</v>
      </c>
      <c r="O312" t="str">
        <f t="shared" si="9"/>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INDEX(products!$A$1:$G$49,MATCH($D313,products!$A$1:$A$49,0),MATCH(orders!I$1,products!$A$1:$G$1,0))</f>
        <v>Exc</v>
      </c>
      <c r="J313" t="str">
        <f>INDEX(products!$A$1:$G$49,MATCH($D313,products!$A$1:$A$49,0),MATCH(orders!J$1,products!$A$1:$G$1,0))</f>
        <v>M</v>
      </c>
      <c r="K313" s="4">
        <f>INDEX(products!$A$1:$G$49,MATCH($D313,products!$A$1:$A$49,0),MATCH(orders!K$1,products!$A$1:$G$1,0))</f>
        <v>2.5</v>
      </c>
      <c r="L313" s="5">
        <f>INDEX(products!$A$1:$G$49,MATCH($D313,products!$A$1:$A$49,0),MATCH(orders!L$1,products!$A$1:$G$1,0))</f>
        <v>31.624999999999996</v>
      </c>
      <c r="M313" s="5">
        <f t="shared" si="8"/>
        <v>189.74999999999997</v>
      </c>
      <c r="N313" t="str">
        <f>IF(I313="Rob","Robusta",IF(I313="Exc","Excelsa",IF(I313="Ara","Arabica",IF(I313="Lib","Liberica",""))))</f>
        <v>Excelsa</v>
      </c>
      <c r="O313" t="str">
        <f t="shared" si="9"/>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INDEX(products!$A$1:$G$49,MATCH($D314,products!$A$1:$A$49,0),MATCH(orders!I$1,products!$A$1:$G$1,0))</f>
        <v>Rob</v>
      </c>
      <c r="J314" t="str">
        <f>INDEX(products!$A$1:$G$49,MATCH($D314,products!$A$1:$A$49,0),MATCH(orders!J$1,products!$A$1:$G$1,0))</f>
        <v>M</v>
      </c>
      <c r="K314" s="4">
        <f>INDEX(products!$A$1:$G$49,MATCH($D314,products!$A$1:$A$49,0),MATCH(orders!K$1,products!$A$1:$G$1,0))</f>
        <v>0.5</v>
      </c>
      <c r="L314" s="5">
        <f>INDEX(products!$A$1:$G$49,MATCH($D314,products!$A$1:$A$49,0),MATCH(orders!L$1,products!$A$1:$G$1,0))</f>
        <v>5.97</v>
      </c>
      <c r="M314" s="5">
        <f t="shared" si="8"/>
        <v>5.97</v>
      </c>
      <c r="N314" t="str">
        <f>IF(I314="Rob","Robusta",IF(I314="Exc","Excelsa",IF(I314="Ara","Arabica",IF(I314="Lib","Liberica",""))))</f>
        <v>Robusta</v>
      </c>
      <c r="O314" t="str">
        <f t="shared" si="9"/>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INDEX(products!$A$1:$G$49,MATCH($D315,products!$A$1:$A$49,0),MATCH(orders!I$1,products!$A$1:$G$1,0))</f>
        <v>Rob</v>
      </c>
      <c r="J315" t="str">
        <f>INDEX(products!$A$1:$G$49,MATCH($D315,products!$A$1:$A$49,0),MATCH(orders!J$1,products!$A$1:$G$1,0))</f>
        <v>M</v>
      </c>
      <c r="K315" s="4">
        <f>INDEX(products!$A$1:$G$49,MATCH($D315,products!$A$1:$A$49,0),MATCH(orders!K$1,products!$A$1:$G$1,0))</f>
        <v>1</v>
      </c>
      <c r="L315" s="5">
        <f>INDEX(products!$A$1:$G$49,MATCH($D315,products!$A$1:$A$49,0),MATCH(orders!L$1,products!$A$1:$G$1,0))</f>
        <v>9.9499999999999993</v>
      </c>
      <c r="M315" s="5">
        <f t="shared" si="8"/>
        <v>29.849999999999998</v>
      </c>
      <c r="N315" t="str">
        <f>IF(I315="Rob","Robusta",IF(I315="Exc","Excelsa",IF(I315="Ara","Arabica",IF(I315="Lib","Liberica",""))))</f>
        <v>Robusta</v>
      </c>
      <c r="O315" t="str">
        <f t="shared" si="9"/>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INDEX(products!$A$1:$G$49,MATCH($D316,products!$A$1:$A$49,0),MATCH(orders!I$1,products!$A$1:$G$1,0))</f>
        <v>Rob</v>
      </c>
      <c r="J316" t="str">
        <f>INDEX(products!$A$1:$G$49,MATCH($D316,products!$A$1:$A$49,0),MATCH(orders!J$1,products!$A$1:$G$1,0))</f>
        <v>D</v>
      </c>
      <c r="K316" s="4">
        <f>INDEX(products!$A$1:$G$49,MATCH($D316,products!$A$1:$A$49,0),MATCH(orders!K$1,products!$A$1:$G$1,0))</f>
        <v>1</v>
      </c>
      <c r="L316" s="5">
        <f>INDEX(products!$A$1:$G$49,MATCH($D316,products!$A$1:$A$49,0),MATCH(orders!L$1,products!$A$1:$G$1,0))</f>
        <v>8.9499999999999993</v>
      </c>
      <c r="M316" s="5">
        <f t="shared" si="8"/>
        <v>44.75</v>
      </c>
      <c r="N316" t="str">
        <f>IF(I316="Rob","Robusta",IF(I316="Exc","Excelsa",IF(I316="Ara","Arabica",IF(I316="Lib","Liberica",""))))</f>
        <v>Robusta</v>
      </c>
      <c r="O316" t="str">
        <f t="shared" si="9"/>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INDEX(products!$A$1:$G$49,MATCH($D317,products!$A$1:$A$49,0),MATCH(orders!I$1,products!$A$1:$G$1,0))</f>
        <v>Exc</v>
      </c>
      <c r="J317" t="str">
        <f>INDEX(products!$A$1:$G$49,MATCH($D317,products!$A$1:$A$49,0),MATCH(orders!J$1,products!$A$1:$G$1,0))</f>
        <v>L</v>
      </c>
      <c r="K317" s="4">
        <f>INDEX(products!$A$1:$G$49,MATCH($D317,products!$A$1:$A$49,0),MATCH(orders!K$1,products!$A$1:$G$1,0))</f>
        <v>2.5</v>
      </c>
      <c r="L317" s="5">
        <f>INDEX(products!$A$1:$G$49,MATCH($D317,products!$A$1:$A$49,0),MATCH(orders!L$1,products!$A$1:$G$1,0))</f>
        <v>34.154999999999994</v>
      </c>
      <c r="M317" s="5">
        <f t="shared" si="8"/>
        <v>34.154999999999994</v>
      </c>
      <c r="N317" t="str">
        <f>IF(I317="Rob","Robusta",IF(I317="Exc","Excelsa",IF(I317="Ara","Arabica",IF(I317="Lib","Liberica",""))))</f>
        <v>Excelsa</v>
      </c>
      <c r="O317" t="str">
        <f t="shared" si="9"/>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INDEX(products!$A$1:$G$49,MATCH($D318,products!$A$1:$A$49,0),MATCH(orders!I$1,products!$A$1:$G$1,0))</f>
        <v>Exc</v>
      </c>
      <c r="J318" t="str">
        <f>INDEX(products!$A$1:$G$49,MATCH($D318,products!$A$1:$A$49,0),MATCH(orders!J$1,products!$A$1:$G$1,0))</f>
        <v>L</v>
      </c>
      <c r="K318" s="4">
        <f>INDEX(products!$A$1:$G$49,MATCH($D318,products!$A$1:$A$49,0),MATCH(orders!K$1,products!$A$1:$G$1,0))</f>
        <v>2.5</v>
      </c>
      <c r="L318" s="5">
        <f>INDEX(products!$A$1:$G$49,MATCH($D318,products!$A$1:$A$49,0),MATCH(orders!L$1,products!$A$1:$G$1,0))</f>
        <v>34.154999999999994</v>
      </c>
      <c r="M318" s="5">
        <f t="shared" si="8"/>
        <v>204.92999999999995</v>
      </c>
      <c r="N318" t="str">
        <f>IF(I318="Rob","Robusta",IF(I318="Exc","Excelsa",IF(I318="Ara","Arabica",IF(I318="Lib","Liberica",""))))</f>
        <v>Excelsa</v>
      </c>
      <c r="O318" t="str">
        <f t="shared" si="9"/>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INDEX(products!$A$1:$G$49,MATCH($D319,products!$A$1:$A$49,0),MATCH(orders!I$1,products!$A$1:$G$1,0))</f>
        <v>Exc</v>
      </c>
      <c r="J319" t="str">
        <f>INDEX(products!$A$1:$G$49,MATCH($D319,products!$A$1:$A$49,0),MATCH(orders!J$1,products!$A$1:$G$1,0))</f>
        <v>D</v>
      </c>
      <c r="K319" s="4">
        <f>INDEX(products!$A$1:$G$49,MATCH($D319,products!$A$1:$A$49,0),MATCH(orders!K$1,products!$A$1:$G$1,0))</f>
        <v>0.5</v>
      </c>
      <c r="L319" s="5">
        <f>INDEX(products!$A$1:$G$49,MATCH($D319,products!$A$1:$A$49,0),MATCH(orders!L$1,products!$A$1:$G$1,0))</f>
        <v>7.29</v>
      </c>
      <c r="M319" s="5">
        <f t="shared" si="8"/>
        <v>21.87</v>
      </c>
      <c r="N319" t="str">
        <f>IF(I319="Rob","Robusta",IF(I319="Exc","Excelsa",IF(I319="Ara","Arabica",IF(I319="Lib","Liberica",""))))</f>
        <v>Excelsa</v>
      </c>
      <c r="O319" t="str">
        <f t="shared" si="9"/>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INDEX(products!$A$1:$G$49,MATCH($D320,products!$A$1:$A$49,0),MATCH(orders!I$1,products!$A$1:$G$1,0))</f>
        <v>Ara</v>
      </c>
      <c r="J320" t="str">
        <f>INDEX(products!$A$1:$G$49,MATCH($D320,products!$A$1:$A$49,0),MATCH(orders!J$1,products!$A$1:$G$1,0))</f>
        <v>M</v>
      </c>
      <c r="K320" s="4">
        <f>INDEX(products!$A$1:$G$49,MATCH($D320,products!$A$1:$A$49,0),MATCH(orders!K$1,products!$A$1:$G$1,0))</f>
        <v>2.5</v>
      </c>
      <c r="L320" s="5">
        <f>INDEX(products!$A$1:$G$49,MATCH($D320,products!$A$1:$A$49,0),MATCH(orders!L$1,products!$A$1:$G$1,0))</f>
        <v>25.874999999999996</v>
      </c>
      <c r="M320" s="5">
        <f t="shared" si="8"/>
        <v>51.749999999999993</v>
      </c>
      <c r="N320" t="str">
        <f>IF(I320="Rob","Robusta",IF(I320="Exc","Excelsa",IF(I320="Ara","Arabica",IF(I320="Lib","Liberica",""))))</f>
        <v>Arabica</v>
      </c>
      <c r="O320" t="str">
        <f t="shared" si="9"/>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INDEX(products!$A$1:$G$49,MATCH($D321,products!$A$1:$A$49,0),MATCH(orders!I$1,products!$A$1:$G$1,0))</f>
        <v>Exc</v>
      </c>
      <c r="J321" t="str">
        <f>INDEX(products!$A$1:$G$49,MATCH($D321,products!$A$1:$A$49,0),MATCH(orders!J$1,products!$A$1:$G$1,0))</f>
        <v>M</v>
      </c>
      <c r="K321" s="4">
        <f>INDEX(products!$A$1:$G$49,MATCH($D321,products!$A$1:$A$49,0),MATCH(orders!K$1,products!$A$1:$G$1,0))</f>
        <v>0.2</v>
      </c>
      <c r="L321" s="5">
        <f>INDEX(products!$A$1:$G$49,MATCH($D321,products!$A$1:$A$49,0),MATCH(orders!L$1,products!$A$1:$G$1,0))</f>
        <v>4.125</v>
      </c>
      <c r="M321" s="5">
        <f t="shared" si="8"/>
        <v>8.25</v>
      </c>
      <c r="N321" t="str">
        <f>IF(I321="Rob","Robusta",IF(I321="Exc","Excelsa",IF(I321="Ara","Arabica",IF(I321="Lib","Liberica",""))))</f>
        <v>Excelsa</v>
      </c>
      <c r="O321" t="str">
        <f t="shared" si="9"/>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INDEX(products!$A$1:$G$49,MATCH($D322,products!$A$1:$A$49,0),MATCH(orders!I$1,products!$A$1:$G$1,0))</f>
        <v>Ara</v>
      </c>
      <c r="J322" t="str">
        <f>INDEX(products!$A$1:$G$49,MATCH($D322,products!$A$1:$A$49,0),MATCH(orders!J$1,products!$A$1:$G$1,0))</f>
        <v>L</v>
      </c>
      <c r="K322" s="4">
        <f>INDEX(products!$A$1:$G$49,MATCH($D322,products!$A$1:$A$49,0),MATCH(orders!K$1,products!$A$1:$G$1,0))</f>
        <v>0.2</v>
      </c>
      <c r="L322" s="5">
        <f>INDEX(products!$A$1:$G$49,MATCH($D322,products!$A$1:$A$49,0),MATCH(orders!L$1,products!$A$1:$G$1,0))</f>
        <v>3.8849999999999998</v>
      </c>
      <c r="M322" s="5">
        <f t="shared" si="8"/>
        <v>19.424999999999997</v>
      </c>
      <c r="N322" t="str">
        <f>IF(I322="Rob","Robusta",IF(I322="Exc","Excelsa",IF(I322="Ara","Arabica",IF(I322="Lib","Liberica",""))))</f>
        <v>Arabica</v>
      </c>
      <c r="O322" t="str">
        <f t="shared" si="9"/>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INDEX(products!$A$1:$G$49,MATCH($D323,products!$A$1:$A$49,0),MATCH(orders!I$1,products!$A$1:$G$1,0))</f>
        <v>Ara</v>
      </c>
      <c r="J323" t="str">
        <f>INDEX(products!$A$1:$G$49,MATCH($D323,products!$A$1:$A$49,0),MATCH(orders!J$1,products!$A$1:$G$1,0))</f>
        <v>M</v>
      </c>
      <c r="K323" s="4">
        <f>INDEX(products!$A$1:$G$49,MATCH($D323,products!$A$1:$A$49,0),MATCH(orders!K$1,products!$A$1:$G$1,0))</f>
        <v>0.2</v>
      </c>
      <c r="L323" s="5">
        <f>INDEX(products!$A$1:$G$49,MATCH($D323,products!$A$1:$A$49,0),MATCH(orders!L$1,products!$A$1:$G$1,0))</f>
        <v>3.375</v>
      </c>
      <c r="M323" s="5">
        <f t="shared" ref="M323:M386" si="10">L323*E323</f>
        <v>20.25</v>
      </c>
      <c r="N323" t="str">
        <f>IF(I323="Rob","Robusta",IF(I323="Exc","Excelsa",IF(I323="Ara","Arabica",IF(I323="Lib","Liberica",""))))</f>
        <v>Arabica</v>
      </c>
      <c r="O323" t="str">
        <f t="shared" ref="O323:O386" si="11">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INDEX(products!$A$1:$G$49,MATCH($D324,products!$A$1:$A$49,0),MATCH(orders!I$1,products!$A$1:$G$1,0))</f>
        <v>Lib</v>
      </c>
      <c r="J324" t="str">
        <f>INDEX(products!$A$1:$G$49,MATCH($D324,products!$A$1:$A$49,0),MATCH(orders!J$1,products!$A$1:$G$1,0))</f>
        <v>D</v>
      </c>
      <c r="K324" s="4">
        <f>INDEX(products!$A$1:$G$49,MATCH($D324,products!$A$1:$A$49,0),MATCH(orders!K$1,products!$A$1:$G$1,0))</f>
        <v>0.5</v>
      </c>
      <c r="L324" s="5">
        <f>INDEX(products!$A$1:$G$49,MATCH($D324,products!$A$1:$A$49,0),MATCH(orders!L$1,products!$A$1:$G$1,0))</f>
        <v>7.77</v>
      </c>
      <c r="M324" s="5">
        <f t="shared" si="10"/>
        <v>23.31</v>
      </c>
      <c r="N324" t="str">
        <f>IF(I324="Rob","Robusta",IF(I324="Exc","Excelsa",IF(I324="Ara","Arabica",IF(I324="Lib","Liberica",""))))</f>
        <v>Liberica</v>
      </c>
      <c r="O324" t="str">
        <f t="shared" si="11"/>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INDEX(products!$A$1:$G$49,MATCH($D325,products!$A$1:$A$49,0),MATCH(orders!I$1,products!$A$1:$G$1,0))</f>
        <v>Exc</v>
      </c>
      <c r="J325" t="str">
        <f>INDEX(products!$A$1:$G$49,MATCH($D325,products!$A$1:$A$49,0),MATCH(orders!J$1,products!$A$1:$G$1,0))</f>
        <v>D</v>
      </c>
      <c r="K325" s="4">
        <f>INDEX(products!$A$1:$G$49,MATCH($D325,products!$A$1:$A$49,0),MATCH(orders!K$1,products!$A$1:$G$1,0))</f>
        <v>0.2</v>
      </c>
      <c r="L325" s="5">
        <f>INDEX(products!$A$1:$G$49,MATCH($D325,products!$A$1:$A$49,0),MATCH(orders!L$1,products!$A$1:$G$1,0))</f>
        <v>3.645</v>
      </c>
      <c r="M325" s="5">
        <f t="shared" si="10"/>
        <v>18.225000000000001</v>
      </c>
      <c r="N325" t="str">
        <f>IF(I325="Rob","Robusta",IF(I325="Exc","Excelsa",IF(I325="Ara","Arabica",IF(I325="Lib","Liberica",""))))</f>
        <v>Excelsa</v>
      </c>
      <c r="O325" t="str">
        <f t="shared" si="11"/>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INDEX(products!$A$1:$G$49,MATCH($D326,products!$A$1:$A$49,0),MATCH(orders!I$1,products!$A$1:$G$1,0))</f>
        <v>Exc</v>
      </c>
      <c r="J326" t="str">
        <f>INDEX(products!$A$1:$G$49,MATCH($D326,products!$A$1:$A$49,0),MATCH(orders!J$1,products!$A$1:$G$1,0))</f>
        <v>M</v>
      </c>
      <c r="K326" s="4">
        <f>INDEX(products!$A$1:$G$49,MATCH($D326,products!$A$1:$A$49,0),MATCH(orders!K$1,products!$A$1:$G$1,0))</f>
        <v>1</v>
      </c>
      <c r="L326" s="5">
        <f>INDEX(products!$A$1:$G$49,MATCH($D326,products!$A$1:$A$49,0),MATCH(orders!L$1,products!$A$1:$G$1,0))</f>
        <v>13.75</v>
      </c>
      <c r="M326" s="5">
        <f t="shared" si="10"/>
        <v>13.75</v>
      </c>
      <c r="N326" t="str">
        <f>IF(I326="Rob","Robusta",IF(I326="Exc","Excelsa",IF(I326="Ara","Arabica",IF(I326="Lib","Liberica",""))))</f>
        <v>Excelsa</v>
      </c>
      <c r="O326" t="str">
        <f t="shared" si="11"/>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INDEX(products!$A$1:$G$49,MATCH($D327,products!$A$1:$A$49,0),MATCH(orders!I$1,products!$A$1:$G$1,0))</f>
        <v>Ara</v>
      </c>
      <c r="J327" t="str">
        <f>INDEX(products!$A$1:$G$49,MATCH($D327,products!$A$1:$A$49,0),MATCH(orders!J$1,products!$A$1:$G$1,0))</f>
        <v>L</v>
      </c>
      <c r="K327" s="4">
        <f>INDEX(products!$A$1:$G$49,MATCH($D327,products!$A$1:$A$49,0),MATCH(orders!K$1,products!$A$1:$G$1,0))</f>
        <v>2.5</v>
      </c>
      <c r="L327" s="5">
        <f>INDEX(products!$A$1:$G$49,MATCH($D327,products!$A$1:$A$49,0),MATCH(orders!L$1,products!$A$1:$G$1,0))</f>
        <v>29.784999999999997</v>
      </c>
      <c r="M327" s="5">
        <f t="shared" si="10"/>
        <v>29.784999999999997</v>
      </c>
      <c r="N327" t="str">
        <f>IF(I327="Rob","Robusta",IF(I327="Exc","Excelsa",IF(I327="Ara","Arabica",IF(I327="Lib","Liberica",""))))</f>
        <v>Arabica</v>
      </c>
      <c r="O327" t="str">
        <f t="shared" si="11"/>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INDEX(products!$A$1:$G$49,MATCH($D328,products!$A$1:$A$49,0),MATCH(orders!I$1,products!$A$1:$G$1,0))</f>
        <v>Rob</v>
      </c>
      <c r="J328" t="str">
        <f>INDEX(products!$A$1:$G$49,MATCH($D328,products!$A$1:$A$49,0),MATCH(orders!J$1,products!$A$1:$G$1,0))</f>
        <v>D</v>
      </c>
      <c r="K328" s="4">
        <f>INDEX(products!$A$1:$G$49,MATCH($D328,products!$A$1:$A$49,0),MATCH(orders!K$1,products!$A$1:$G$1,0))</f>
        <v>1</v>
      </c>
      <c r="L328" s="5">
        <f>INDEX(products!$A$1:$G$49,MATCH($D328,products!$A$1:$A$49,0),MATCH(orders!L$1,products!$A$1:$G$1,0))</f>
        <v>8.9499999999999993</v>
      </c>
      <c r="M328" s="5">
        <f t="shared" si="10"/>
        <v>44.75</v>
      </c>
      <c r="N328" t="str">
        <f>IF(I328="Rob","Robusta",IF(I328="Exc","Excelsa",IF(I328="Ara","Arabica",IF(I328="Lib","Liberica",""))))</f>
        <v>Robusta</v>
      </c>
      <c r="O328" t="str">
        <f t="shared" si="11"/>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INDEX(products!$A$1:$G$49,MATCH($D329,products!$A$1:$A$49,0),MATCH(orders!I$1,products!$A$1:$G$1,0))</f>
        <v>Rob</v>
      </c>
      <c r="J329" t="str">
        <f>INDEX(products!$A$1:$G$49,MATCH($D329,products!$A$1:$A$49,0),MATCH(orders!J$1,products!$A$1:$G$1,0))</f>
        <v>D</v>
      </c>
      <c r="K329" s="4">
        <f>INDEX(products!$A$1:$G$49,MATCH($D329,products!$A$1:$A$49,0),MATCH(orders!K$1,products!$A$1:$G$1,0))</f>
        <v>1</v>
      </c>
      <c r="L329" s="5">
        <f>INDEX(products!$A$1:$G$49,MATCH($D329,products!$A$1:$A$49,0),MATCH(orders!L$1,products!$A$1:$G$1,0))</f>
        <v>8.9499999999999993</v>
      </c>
      <c r="M329" s="5">
        <f t="shared" si="10"/>
        <v>44.75</v>
      </c>
      <c r="N329" t="str">
        <f>IF(I329="Rob","Robusta",IF(I329="Exc","Excelsa",IF(I329="Ara","Arabica",IF(I329="Lib","Liberica",""))))</f>
        <v>Robusta</v>
      </c>
      <c r="O329" t="str">
        <f t="shared" si="11"/>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INDEX(products!$A$1:$G$49,MATCH($D330,products!$A$1:$A$49,0),MATCH(orders!I$1,products!$A$1:$G$1,0))</f>
        <v>Lib</v>
      </c>
      <c r="J330" t="str">
        <f>INDEX(products!$A$1:$G$49,MATCH($D330,products!$A$1:$A$49,0),MATCH(orders!J$1,products!$A$1:$G$1,0))</f>
        <v>L</v>
      </c>
      <c r="K330" s="4">
        <f>INDEX(products!$A$1:$G$49,MATCH($D330,products!$A$1:$A$49,0),MATCH(orders!K$1,products!$A$1:$G$1,0))</f>
        <v>0.5</v>
      </c>
      <c r="L330" s="5">
        <f>INDEX(products!$A$1:$G$49,MATCH($D330,products!$A$1:$A$49,0),MATCH(orders!L$1,products!$A$1:$G$1,0))</f>
        <v>9.51</v>
      </c>
      <c r="M330" s="5">
        <f t="shared" si="10"/>
        <v>38.04</v>
      </c>
      <c r="N330" t="str">
        <f>IF(I330="Rob","Robusta",IF(I330="Exc","Excelsa",IF(I330="Ara","Arabica",IF(I330="Lib","Liberica",""))))</f>
        <v>Liberica</v>
      </c>
      <c r="O330" t="str">
        <f t="shared" si="11"/>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INDEX(products!$A$1:$G$49,MATCH($D331,products!$A$1:$A$49,0),MATCH(orders!I$1,products!$A$1:$G$1,0))</f>
        <v>Rob</v>
      </c>
      <c r="J331" t="str">
        <f>INDEX(products!$A$1:$G$49,MATCH($D331,products!$A$1:$A$49,0),MATCH(orders!J$1,products!$A$1:$G$1,0))</f>
        <v>D</v>
      </c>
      <c r="K331" s="4">
        <f>INDEX(products!$A$1:$G$49,MATCH($D331,products!$A$1:$A$49,0),MATCH(orders!K$1,products!$A$1:$G$1,0))</f>
        <v>0.5</v>
      </c>
      <c r="L331" s="5">
        <f>INDEX(products!$A$1:$G$49,MATCH($D331,products!$A$1:$A$49,0),MATCH(orders!L$1,products!$A$1:$G$1,0))</f>
        <v>5.3699999999999992</v>
      </c>
      <c r="M331" s="5">
        <f t="shared" si="10"/>
        <v>21.479999999999997</v>
      </c>
      <c r="N331" t="str">
        <f>IF(I331="Rob","Robusta",IF(I331="Exc","Excelsa",IF(I331="Ara","Arabica",IF(I331="Lib","Liberica",""))))</f>
        <v>Robusta</v>
      </c>
      <c r="O331" t="str">
        <f t="shared" si="11"/>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INDEX(products!$A$1:$G$49,MATCH($D332,products!$A$1:$A$49,0),MATCH(orders!I$1,products!$A$1:$G$1,0))</f>
        <v>Rob</v>
      </c>
      <c r="J332" t="str">
        <f>INDEX(products!$A$1:$G$49,MATCH($D332,products!$A$1:$A$49,0),MATCH(orders!J$1,products!$A$1:$G$1,0))</f>
        <v>D</v>
      </c>
      <c r="K332" s="4">
        <f>INDEX(products!$A$1:$G$49,MATCH($D332,products!$A$1:$A$49,0),MATCH(orders!K$1,products!$A$1:$G$1,0))</f>
        <v>0.5</v>
      </c>
      <c r="L332" s="5">
        <f>INDEX(products!$A$1:$G$49,MATCH($D332,products!$A$1:$A$49,0),MATCH(orders!L$1,products!$A$1:$G$1,0))</f>
        <v>5.3699999999999992</v>
      </c>
      <c r="M332" s="5">
        <f t="shared" si="10"/>
        <v>16.11</v>
      </c>
      <c r="N332" t="str">
        <f>IF(I332="Rob","Robusta",IF(I332="Exc","Excelsa",IF(I332="Ara","Arabica",IF(I332="Lib","Liberica",""))))</f>
        <v>Robusta</v>
      </c>
      <c r="O332" t="str">
        <f t="shared" si="11"/>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INDEX(products!$A$1:$G$49,MATCH($D333,products!$A$1:$A$49,0),MATCH(orders!I$1,products!$A$1:$G$1,0))</f>
        <v>Rob</v>
      </c>
      <c r="J333" t="str">
        <f>INDEX(products!$A$1:$G$49,MATCH($D333,products!$A$1:$A$49,0),MATCH(orders!J$1,products!$A$1:$G$1,0))</f>
        <v>M</v>
      </c>
      <c r="K333" s="4">
        <f>INDEX(products!$A$1:$G$49,MATCH($D333,products!$A$1:$A$49,0),MATCH(orders!K$1,products!$A$1:$G$1,0))</f>
        <v>2.5</v>
      </c>
      <c r="L333" s="5">
        <f>INDEX(products!$A$1:$G$49,MATCH($D333,products!$A$1:$A$49,0),MATCH(orders!L$1,products!$A$1:$G$1,0))</f>
        <v>22.884999999999998</v>
      </c>
      <c r="M333" s="5">
        <f t="shared" si="10"/>
        <v>22.884999999999998</v>
      </c>
      <c r="N333" t="str">
        <f>IF(I333="Rob","Robusta",IF(I333="Exc","Excelsa",IF(I333="Ara","Arabica",IF(I333="Lib","Liberica",""))))</f>
        <v>Robusta</v>
      </c>
      <c r="O333" t="str">
        <f t="shared" si="11"/>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INDEX(products!$A$1:$G$49,MATCH($D334,products!$A$1:$A$49,0),MATCH(orders!I$1,products!$A$1:$G$1,0))</f>
        <v>Ara</v>
      </c>
      <c r="J334" t="str">
        <f>INDEX(products!$A$1:$G$49,MATCH($D334,products!$A$1:$A$49,0),MATCH(orders!J$1,products!$A$1:$G$1,0))</f>
        <v>D</v>
      </c>
      <c r="K334" s="4">
        <f>INDEX(products!$A$1:$G$49,MATCH($D334,products!$A$1:$A$49,0),MATCH(orders!K$1,products!$A$1:$G$1,0))</f>
        <v>0.5</v>
      </c>
      <c r="L334" s="5">
        <f>INDEX(products!$A$1:$G$49,MATCH($D334,products!$A$1:$A$49,0),MATCH(orders!L$1,products!$A$1:$G$1,0))</f>
        <v>5.97</v>
      </c>
      <c r="M334" s="5">
        <f t="shared" si="10"/>
        <v>17.91</v>
      </c>
      <c r="N334" t="str">
        <f>IF(I334="Rob","Robusta",IF(I334="Exc","Excelsa",IF(I334="Ara","Arabica",IF(I334="Lib","Liberica",""))))</f>
        <v>Arabica</v>
      </c>
      <c r="O334" t="str">
        <f t="shared" si="11"/>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INDEX(products!$A$1:$G$49,MATCH($D335,products!$A$1:$A$49,0),MATCH(orders!I$1,products!$A$1:$G$1,0))</f>
        <v>Rob</v>
      </c>
      <c r="J335" t="str">
        <f>INDEX(products!$A$1:$G$49,MATCH($D335,products!$A$1:$A$49,0),MATCH(orders!J$1,products!$A$1:$G$1,0))</f>
        <v>M</v>
      </c>
      <c r="K335" s="4">
        <f>INDEX(products!$A$1:$G$49,MATCH($D335,products!$A$1:$A$49,0),MATCH(orders!K$1,products!$A$1:$G$1,0))</f>
        <v>0.5</v>
      </c>
      <c r="L335" s="5">
        <f>INDEX(products!$A$1:$G$49,MATCH($D335,products!$A$1:$A$49,0),MATCH(orders!L$1,products!$A$1:$G$1,0))</f>
        <v>5.97</v>
      </c>
      <c r="M335" s="5">
        <f t="shared" si="10"/>
        <v>23.88</v>
      </c>
      <c r="N335" t="str">
        <f>IF(I335="Rob","Robusta",IF(I335="Exc","Excelsa",IF(I335="Ara","Arabica",IF(I335="Lib","Liberica",""))))</f>
        <v>Robusta</v>
      </c>
      <c r="O335" t="str">
        <f t="shared" si="11"/>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INDEX(products!$A$1:$G$49,MATCH($D336,products!$A$1:$A$49,0),MATCH(orders!I$1,products!$A$1:$G$1,0))</f>
        <v>Rob</v>
      </c>
      <c r="J336" t="str">
        <f>INDEX(products!$A$1:$G$49,MATCH($D336,products!$A$1:$A$49,0),MATCH(orders!J$1,products!$A$1:$G$1,0))</f>
        <v>L</v>
      </c>
      <c r="K336" s="4">
        <f>INDEX(products!$A$1:$G$49,MATCH($D336,products!$A$1:$A$49,0),MATCH(orders!K$1,products!$A$1:$G$1,0))</f>
        <v>1</v>
      </c>
      <c r="L336" s="5">
        <f>INDEX(products!$A$1:$G$49,MATCH($D336,products!$A$1:$A$49,0),MATCH(orders!L$1,products!$A$1:$G$1,0))</f>
        <v>11.95</v>
      </c>
      <c r="M336" s="5">
        <f t="shared" si="10"/>
        <v>59.75</v>
      </c>
      <c r="N336" t="str">
        <f>IF(I336="Rob","Robusta",IF(I336="Exc","Excelsa",IF(I336="Ara","Arabica",IF(I336="Lib","Liberica",""))))</f>
        <v>Robusta</v>
      </c>
      <c r="O336" t="str">
        <f t="shared" si="11"/>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INDEX(products!$A$1:$G$49,MATCH($D337,products!$A$1:$A$49,0),MATCH(orders!I$1,products!$A$1:$G$1,0))</f>
        <v>Lib</v>
      </c>
      <c r="J337" t="str">
        <f>INDEX(products!$A$1:$G$49,MATCH($D337,products!$A$1:$A$49,0),MATCH(orders!J$1,products!$A$1:$G$1,0))</f>
        <v>L</v>
      </c>
      <c r="K337" s="4">
        <f>INDEX(products!$A$1:$G$49,MATCH($D337,products!$A$1:$A$49,0),MATCH(orders!K$1,products!$A$1:$G$1,0))</f>
        <v>0.2</v>
      </c>
      <c r="L337" s="5">
        <f>INDEX(products!$A$1:$G$49,MATCH($D337,products!$A$1:$A$49,0),MATCH(orders!L$1,products!$A$1:$G$1,0))</f>
        <v>4.7549999999999999</v>
      </c>
      <c r="M337" s="5">
        <f t="shared" si="10"/>
        <v>28.53</v>
      </c>
      <c r="N337" t="str">
        <f>IF(I337="Rob","Robusta",IF(I337="Exc","Excelsa",IF(I337="Ara","Arabica",IF(I337="Lib","Liberica",""))))</f>
        <v>Liberica</v>
      </c>
      <c r="O337" t="str">
        <f t="shared" si="11"/>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INDEX(products!$A$1:$G$49,MATCH($D338,products!$A$1:$A$49,0),MATCH(orders!I$1,products!$A$1:$G$1,0))</f>
        <v>Ara</v>
      </c>
      <c r="J338" t="str">
        <f>INDEX(products!$A$1:$G$49,MATCH($D338,products!$A$1:$A$49,0),MATCH(orders!J$1,products!$A$1:$G$1,0))</f>
        <v>M</v>
      </c>
      <c r="K338" s="4">
        <f>INDEX(products!$A$1:$G$49,MATCH($D338,products!$A$1:$A$49,0),MATCH(orders!K$1,products!$A$1:$G$1,0))</f>
        <v>1</v>
      </c>
      <c r="L338" s="5">
        <f>INDEX(products!$A$1:$G$49,MATCH($D338,products!$A$1:$A$49,0),MATCH(orders!L$1,products!$A$1:$G$1,0))</f>
        <v>11.25</v>
      </c>
      <c r="M338" s="5">
        <f t="shared" si="10"/>
        <v>45</v>
      </c>
      <c r="N338" t="str">
        <f>IF(I338="Rob","Robusta",IF(I338="Exc","Excelsa",IF(I338="Ara","Arabica",IF(I338="Lib","Liberica",""))))</f>
        <v>Arabica</v>
      </c>
      <c r="O338" t="str">
        <f t="shared" si="11"/>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INDEX(products!$A$1:$G$49,MATCH($D339,products!$A$1:$A$49,0),MATCH(orders!I$1,products!$A$1:$G$1,0))</f>
        <v>Exc</v>
      </c>
      <c r="J339" t="str">
        <f>INDEX(products!$A$1:$G$49,MATCH($D339,products!$A$1:$A$49,0),MATCH(orders!J$1,products!$A$1:$G$1,0))</f>
        <v>D</v>
      </c>
      <c r="K339" s="4">
        <f>INDEX(products!$A$1:$G$49,MATCH($D339,products!$A$1:$A$49,0),MATCH(orders!K$1,products!$A$1:$G$1,0))</f>
        <v>2.5</v>
      </c>
      <c r="L339" s="5">
        <f>INDEX(products!$A$1:$G$49,MATCH($D339,products!$A$1:$A$49,0),MATCH(orders!L$1,products!$A$1:$G$1,0))</f>
        <v>27.945</v>
      </c>
      <c r="M339" s="5">
        <f t="shared" si="10"/>
        <v>55.89</v>
      </c>
      <c r="N339" t="str">
        <f>IF(I339="Rob","Robusta",IF(I339="Exc","Excelsa",IF(I339="Ara","Arabica",IF(I339="Lib","Liberica",""))))</f>
        <v>Excelsa</v>
      </c>
      <c r="O339" t="str">
        <f t="shared" si="11"/>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INDEX(products!$A$1:$G$49,MATCH($D340,products!$A$1:$A$49,0),MATCH(orders!I$1,products!$A$1:$G$1,0))</f>
        <v>Exc</v>
      </c>
      <c r="J340" t="str">
        <f>INDEX(products!$A$1:$G$49,MATCH($D340,products!$A$1:$A$49,0),MATCH(orders!J$1,products!$A$1:$G$1,0))</f>
        <v>L</v>
      </c>
      <c r="K340" s="4">
        <f>INDEX(products!$A$1:$G$49,MATCH($D340,products!$A$1:$A$49,0),MATCH(orders!K$1,products!$A$1:$G$1,0))</f>
        <v>1</v>
      </c>
      <c r="L340" s="5">
        <f>INDEX(products!$A$1:$G$49,MATCH($D340,products!$A$1:$A$49,0),MATCH(orders!L$1,products!$A$1:$G$1,0))</f>
        <v>14.85</v>
      </c>
      <c r="M340" s="5">
        <f t="shared" si="10"/>
        <v>59.4</v>
      </c>
      <c r="N340" t="str">
        <f>IF(I340="Rob","Robusta",IF(I340="Exc","Excelsa",IF(I340="Ara","Arabica",IF(I340="Lib","Liberica",""))))</f>
        <v>Excelsa</v>
      </c>
      <c r="O340" t="str">
        <f t="shared" si="11"/>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INDEX(products!$A$1:$G$49,MATCH($D341,products!$A$1:$A$49,0),MATCH(orders!I$1,products!$A$1:$G$1,0))</f>
        <v>Exc</v>
      </c>
      <c r="J341" t="str">
        <f>INDEX(products!$A$1:$G$49,MATCH($D341,products!$A$1:$A$49,0),MATCH(orders!J$1,products!$A$1:$G$1,0))</f>
        <v>D</v>
      </c>
      <c r="K341" s="4">
        <f>INDEX(products!$A$1:$G$49,MATCH($D341,products!$A$1:$A$49,0),MATCH(orders!K$1,products!$A$1:$G$1,0))</f>
        <v>0.2</v>
      </c>
      <c r="L341" s="5">
        <f>INDEX(products!$A$1:$G$49,MATCH($D341,products!$A$1:$A$49,0),MATCH(orders!L$1,products!$A$1:$G$1,0))</f>
        <v>3.645</v>
      </c>
      <c r="M341" s="5">
        <f t="shared" si="10"/>
        <v>7.29</v>
      </c>
      <c r="N341" t="str">
        <f>IF(I341="Rob","Robusta",IF(I341="Exc","Excelsa",IF(I341="Ara","Arabica",IF(I341="Lib","Liberica",""))))</f>
        <v>Excelsa</v>
      </c>
      <c r="O341" t="str">
        <f t="shared" si="11"/>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INDEX(products!$A$1:$G$49,MATCH($D342,products!$A$1:$A$49,0),MATCH(orders!I$1,products!$A$1:$G$1,0))</f>
        <v>Exc</v>
      </c>
      <c r="J342" t="str">
        <f>INDEX(products!$A$1:$G$49,MATCH($D342,products!$A$1:$A$49,0),MATCH(orders!J$1,products!$A$1:$G$1,0))</f>
        <v>D</v>
      </c>
      <c r="K342" s="4">
        <f>INDEX(products!$A$1:$G$49,MATCH($D342,products!$A$1:$A$49,0),MATCH(orders!K$1,products!$A$1:$G$1,0))</f>
        <v>0.5</v>
      </c>
      <c r="L342" s="5">
        <f>INDEX(products!$A$1:$G$49,MATCH($D342,products!$A$1:$A$49,0),MATCH(orders!L$1,products!$A$1:$G$1,0))</f>
        <v>7.29</v>
      </c>
      <c r="M342" s="5">
        <f t="shared" si="10"/>
        <v>7.29</v>
      </c>
      <c r="N342" t="str">
        <f>IF(I342="Rob","Robusta",IF(I342="Exc","Excelsa",IF(I342="Ara","Arabica",IF(I342="Lib","Liberica",""))))</f>
        <v>Excelsa</v>
      </c>
      <c r="O342" t="str">
        <f t="shared" si="11"/>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INDEX(products!$A$1:$G$49,MATCH($D343,products!$A$1:$A$49,0),MATCH(orders!I$1,products!$A$1:$G$1,0))</f>
        <v>Exc</v>
      </c>
      <c r="J343" t="str">
        <f>INDEX(products!$A$1:$G$49,MATCH($D343,products!$A$1:$A$49,0),MATCH(orders!J$1,products!$A$1:$G$1,0))</f>
        <v>L</v>
      </c>
      <c r="K343" s="4">
        <f>INDEX(products!$A$1:$G$49,MATCH($D343,products!$A$1:$A$49,0),MATCH(orders!K$1,products!$A$1:$G$1,0))</f>
        <v>0.5</v>
      </c>
      <c r="L343" s="5">
        <f>INDEX(products!$A$1:$G$49,MATCH($D343,products!$A$1:$A$49,0),MATCH(orders!L$1,products!$A$1:$G$1,0))</f>
        <v>8.91</v>
      </c>
      <c r="M343" s="5">
        <f t="shared" si="10"/>
        <v>17.82</v>
      </c>
      <c r="N343" t="str">
        <f>IF(I343="Rob","Robusta",IF(I343="Exc","Excelsa",IF(I343="Ara","Arabica",IF(I343="Lib","Liberica",""))))</f>
        <v>Excelsa</v>
      </c>
      <c r="O343" t="str">
        <f t="shared" si="11"/>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INDEX(products!$A$1:$G$49,MATCH($D344,products!$A$1:$A$49,0),MATCH(orders!I$1,products!$A$1:$G$1,0))</f>
        <v>Lib</v>
      </c>
      <c r="J344" t="str">
        <f>INDEX(products!$A$1:$G$49,MATCH($D344,products!$A$1:$A$49,0),MATCH(orders!J$1,products!$A$1:$G$1,0))</f>
        <v>D</v>
      </c>
      <c r="K344" s="4">
        <f>INDEX(products!$A$1:$G$49,MATCH($D344,products!$A$1:$A$49,0),MATCH(orders!K$1,products!$A$1:$G$1,0))</f>
        <v>0.5</v>
      </c>
      <c r="L344" s="5">
        <f>INDEX(products!$A$1:$G$49,MATCH($D344,products!$A$1:$A$49,0),MATCH(orders!L$1,products!$A$1:$G$1,0))</f>
        <v>7.77</v>
      </c>
      <c r="M344" s="5">
        <f t="shared" si="10"/>
        <v>38.849999999999994</v>
      </c>
      <c r="N344" t="str">
        <f>IF(I344="Rob","Robusta",IF(I344="Exc","Excelsa",IF(I344="Ara","Arabica",IF(I344="Lib","Liberica",""))))</f>
        <v>Liberica</v>
      </c>
      <c r="O344" t="str">
        <f t="shared" si="11"/>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INDEX(products!$A$1:$G$49,MATCH($D345,products!$A$1:$A$49,0),MATCH(orders!I$1,products!$A$1:$G$1,0))</f>
        <v>Rob</v>
      </c>
      <c r="J345" t="str">
        <f>INDEX(products!$A$1:$G$49,MATCH($D345,products!$A$1:$A$49,0),MATCH(orders!J$1,products!$A$1:$G$1,0))</f>
        <v>D</v>
      </c>
      <c r="K345" s="4">
        <f>INDEX(products!$A$1:$G$49,MATCH($D345,products!$A$1:$A$49,0),MATCH(orders!K$1,products!$A$1:$G$1,0))</f>
        <v>0.5</v>
      </c>
      <c r="L345" s="5">
        <f>INDEX(products!$A$1:$G$49,MATCH($D345,products!$A$1:$A$49,0),MATCH(orders!L$1,products!$A$1:$G$1,0))</f>
        <v>5.3699999999999992</v>
      </c>
      <c r="M345" s="5">
        <f t="shared" si="10"/>
        <v>32.22</v>
      </c>
      <c r="N345" t="str">
        <f>IF(I345="Rob","Robusta",IF(I345="Exc","Excelsa",IF(I345="Ara","Arabica",IF(I345="Lib","Liberica",""))))</f>
        <v>Robusta</v>
      </c>
      <c r="O345" t="str">
        <f t="shared" si="11"/>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INDEX(products!$A$1:$G$49,MATCH($D346,products!$A$1:$A$49,0),MATCH(orders!I$1,products!$A$1:$G$1,0))</f>
        <v>Rob</v>
      </c>
      <c r="J346" t="str">
        <f>INDEX(products!$A$1:$G$49,MATCH($D346,products!$A$1:$A$49,0),MATCH(orders!J$1,products!$A$1:$G$1,0))</f>
        <v>M</v>
      </c>
      <c r="K346" s="4">
        <f>INDEX(products!$A$1:$G$49,MATCH($D346,products!$A$1:$A$49,0),MATCH(orders!K$1,products!$A$1:$G$1,0))</f>
        <v>1</v>
      </c>
      <c r="L346" s="5">
        <f>INDEX(products!$A$1:$G$49,MATCH($D346,products!$A$1:$A$49,0),MATCH(orders!L$1,products!$A$1:$G$1,0))</f>
        <v>9.9499999999999993</v>
      </c>
      <c r="M346" s="5">
        <f t="shared" si="10"/>
        <v>19.899999999999999</v>
      </c>
      <c r="N346" t="str">
        <f>IF(I346="Rob","Robusta",IF(I346="Exc","Excelsa",IF(I346="Ara","Arabica",IF(I346="Lib","Liberica",""))))</f>
        <v>Robusta</v>
      </c>
      <c r="O346" t="str">
        <f t="shared" si="11"/>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INDEX(products!$A$1:$G$49,MATCH($D347,products!$A$1:$A$49,0),MATCH(orders!I$1,products!$A$1:$G$1,0))</f>
        <v>Rob</v>
      </c>
      <c r="J347" t="str">
        <f>INDEX(products!$A$1:$G$49,MATCH($D347,products!$A$1:$A$49,0),MATCH(orders!J$1,products!$A$1:$G$1,0))</f>
        <v>L</v>
      </c>
      <c r="K347" s="4">
        <f>INDEX(products!$A$1:$G$49,MATCH($D347,products!$A$1:$A$49,0),MATCH(orders!K$1,products!$A$1:$G$1,0))</f>
        <v>1</v>
      </c>
      <c r="L347" s="5">
        <f>INDEX(products!$A$1:$G$49,MATCH($D347,products!$A$1:$A$49,0),MATCH(orders!L$1,products!$A$1:$G$1,0))</f>
        <v>11.95</v>
      </c>
      <c r="M347" s="5">
        <f t="shared" si="10"/>
        <v>59.75</v>
      </c>
      <c r="N347" t="str">
        <f>IF(I347="Rob","Robusta",IF(I347="Exc","Excelsa",IF(I347="Ara","Arabica",IF(I347="Lib","Liberica",""))))</f>
        <v>Robusta</v>
      </c>
      <c r="O347" t="str">
        <f t="shared" si="11"/>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INDEX(products!$A$1:$G$49,MATCH($D348,products!$A$1:$A$49,0),MATCH(orders!I$1,products!$A$1:$G$1,0))</f>
        <v>Ara</v>
      </c>
      <c r="J348" t="str">
        <f>INDEX(products!$A$1:$G$49,MATCH($D348,products!$A$1:$A$49,0),MATCH(orders!J$1,products!$A$1:$G$1,0))</f>
        <v>L</v>
      </c>
      <c r="K348" s="4">
        <f>INDEX(products!$A$1:$G$49,MATCH($D348,products!$A$1:$A$49,0),MATCH(orders!K$1,products!$A$1:$G$1,0))</f>
        <v>0.5</v>
      </c>
      <c r="L348" s="5">
        <f>INDEX(products!$A$1:$G$49,MATCH($D348,products!$A$1:$A$49,0),MATCH(orders!L$1,products!$A$1:$G$1,0))</f>
        <v>7.77</v>
      </c>
      <c r="M348" s="5">
        <f t="shared" si="10"/>
        <v>23.31</v>
      </c>
      <c r="N348" t="str">
        <f>IF(I348="Rob","Robusta",IF(I348="Exc","Excelsa",IF(I348="Ara","Arabica",IF(I348="Lib","Liberica",""))))</f>
        <v>Arabica</v>
      </c>
      <c r="O348" t="str">
        <f t="shared" si="11"/>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INDEX(products!$A$1:$G$49,MATCH($D349,products!$A$1:$A$49,0),MATCH(orders!I$1,products!$A$1:$G$1,0))</f>
        <v>Lib</v>
      </c>
      <c r="J349" t="str">
        <f>INDEX(products!$A$1:$G$49,MATCH($D349,products!$A$1:$A$49,0),MATCH(orders!J$1,products!$A$1:$G$1,0))</f>
        <v>M</v>
      </c>
      <c r="K349" s="4">
        <f>INDEX(products!$A$1:$G$49,MATCH($D349,products!$A$1:$A$49,0),MATCH(orders!K$1,products!$A$1:$G$1,0))</f>
        <v>1</v>
      </c>
      <c r="L349" s="5">
        <f>INDEX(products!$A$1:$G$49,MATCH($D349,products!$A$1:$A$49,0),MATCH(orders!L$1,products!$A$1:$G$1,0))</f>
        <v>14.55</v>
      </c>
      <c r="M349" s="5">
        <f t="shared" si="10"/>
        <v>43.650000000000006</v>
      </c>
      <c r="N349" t="str">
        <f>IF(I349="Rob","Robusta",IF(I349="Exc","Excelsa",IF(I349="Ara","Arabica",IF(I349="Lib","Liberica",""))))</f>
        <v>Liberica</v>
      </c>
      <c r="O349" t="str">
        <f t="shared" si="11"/>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INDEX(products!$A$1:$G$49,MATCH($D350,products!$A$1:$A$49,0),MATCH(orders!I$1,products!$A$1:$G$1,0))</f>
        <v>Exc</v>
      </c>
      <c r="J350" t="str">
        <f>INDEX(products!$A$1:$G$49,MATCH($D350,products!$A$1:$A$49,0),MATCH(orders!J$1,products!$A$1:$G$1,0))</f>
        <v>L</v>
      </c>
      <c r="K350" s="4">
        <f>INDEX(products!$A$1:$G$49,MATCH($D350,products!$A$1:$A$49,0),MATCH(orders!K$1,products!$A$1:$G$1,0))</f>
        <v>2.5</v>
      </c>
      <c r="L350" s="5">
        <f>INDEX(products!$A$1:$G$49,MATCH($D350,products!$A$1:$A$49,0),MATCH(orders!L$1,products!$A$1:$G$1,0))</f>
        <v>34.154999999999994</v>
      </c>
      <c r="M350" s="5">
        <f t="shared" si="10"/>
        <v>204.92999999999995</v>
      </c>
      <c r="N350" t="str">
        <f>IF(I350="Rob","Robusta",IF(I350="Exc","Excelsa",IF(I350="Ara","Arabica",IF(I350="Lib","Liberica",""))))</f>
        <v>Excelsa</v>
      </c>
      <c r="O350" t="str">
        <f t="shared" si="11"/>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INDEX(products!$A$1:$G$49,MATCH($D351,products!$A$1:$A$49,0),MATCH(orders!I$1,products!$A$1:$G$1,0))</f>
        <v>Rob</v>
      </c>
      <c r="J351" t="str">
        <f>INDEX(products!$A$1:$G$49,MATCH($D351,products!$A$1:$A$49,0),MATCH(orders!J$1,products!$A$1:$G$1,0))</f>
        <v>L</v>
      </c>
      <c r="K351" s="4">
        <f>INDEX(products!$A$1:$G$49,MATCH($D351,products!$A$1:$A$49,0),MATCH(orders!K$1,products!$A$1:$G$1,0))</f>
        <v>0.2</v>
      </c>
      <c r="L351" s="5">
        <f>INDEX(products!$A$1:$G$49,MATCH($D351,products!$A$1:$A$49,0),MATCH(orders!L$1,products!$A$1:$G$1,0))</f>
        <v>3.5849999999999995</v>
      </c>
      <c r="M351" s="5">
        <f t="shared" si="10"/>
        <v>14.339999999999998</v>
      </c>
      <c r="N351" t="str">
        <f>IF(I351="Rob","Robusta",IF(I351="Exc","Excelsa",IF(I351="Ara","Arabica",IF(I351="Lib","Liberica",""))))</f>
        <v>Robusta</v>
      </c>
      <c r="O351" t="str">
        <f t="shared" si="11"/>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INDEX(products!$A$1:$G$49,MATCH($D352,products!$A$1:$A$49,0),MATCH(orders!I$1,products!$A$1:$G$1,0))</f>
        <v>Ara</v>
      </c>
      <c r="J352" t="str">
        <f>INDEX(products!$A$1:$G$49,MATCH($D352,products!$A$1:$A$49,0),MATCH(orders!J$1,products!$A$1:$G$1,0))</f>
        <v>D</v>
      </c>
      <c r="K352" s="4">
        <f>INDEX(products!$A$1:$G$49,MATCH($D352,products!$A$1:$A$49,0),MATCH(orders!K$1,products!$A$1:$G$1,0))</f>
        <v>0.5</v>
      </c>
      <c r="L352" s="5">
        <f>INDEX(products!$A$1:$G$49,MATCH($D352,products!$A$1:$A$49,0),MATCH(orders!L$1,products!$A$1:$G$1,0))</f>
        <v>5.97</v>
      </c>
      <c r="M352" s="5">
        <f t="shared" si="10"/>
        <v>23.88</v>
      </c>
      <c r="N352" t="str">
        <f>IF(I352="Rob","Robusta",IF(I352="Exc","Excelsa",IF(I352="Ara","Arabica",IF(I352="Lib","Liberica",""))))</f>
        <v>Arabica</v>
      </c>
      <c r="O352" t="str">
        <f t="shared" si="11"/>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INDEX(products!$A$1:$G$49,MATCH($D353,products!$A$1:$A$49,0),MATCH(orders!I$1,products!$A$1:$G$1,0))</f>
        <v>Ara</v>
      </c>
      <c r="J353" t="str">
        <f>INDEX(products!$A$1:$G$49,MATCH($D353,products!$A$1:$A$49,0),MATCH(orders!J$1,products!$A$1:$G$1,0))</f>
        <v>M</v>
      </c>
      <c r="K353" s="4">
        <f>INDEX(products!$A$1:$G$49,MATCH($D353,products!$A$1:$A$49,0),MATCH(orders!K$1,products!$A$1:$G$1,0))</f>
        <v>1</v>
      </c>
      <c r="L353" s="5">
        <f>INDEX(products!$A$1:$G$49,MATCH($D353,products!$A$1:$A$49,0),MATCH(orders!L$1,products!$A$1:$G$1,0))</f>
        <v>11.25</v>
      </c>
      <c r="M353" s="5">
        <f t="shared" si="10"/>
        <v>22.5</v>
      </c>
      <c r="N353" t="str">
        <f>IF(I353="Rob","Robusta",IF(I353="Exc","Excelsa",IF(I353="Ara","Arabica",IF(I353="Lib","Liberica",""))))</f>
        <v>Arabica</v>
      </c>
      <c r="O353" t="str">
        <f t="shared" si="11"/>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INDEX(products!$A$1:$G$49,MATCH($D354,products!$A$1:$A$49,0),MATCH(orders!I$1,products!$A$1:$G$1,0))</f>
        <v>Exc</v>
      </c>
      <c r="J354" t="str">
        <f>INDEX(products!$A$1:$G$49,MATCH($D354,products!$A$1:$A$49,0),MATCH(orders!J$1,products!$A$1:$G$1,0))</f>
        <v>D</v>
      </c>
      <c r="K354" s="4">
        <f>INDEX(products!$A$1:$G$49,MATCH($D354,products!$A$1:$A$49,0),MATCH(orders!K$1,products!$A$1:$G$1,0))</f>
        <v>0.5</v>
      </c>
      <c r="L354" s="5">
        <f>INDEX(products!$A$1:$G$49,MATCH($D354,products!$A$1:$A$49,0),MATCH(orders!L$1,products!$A$1:$G$1,0))</f>
        <v>7.29</v>
      </c>
      <c r="M354" s="5">
        <f t="shared" si="10"/>
        <v>36.450000000000003</v>
      </c>
      <c r="N354" t="str">
        <f>IF(I354="Rob","Robusta",IF(I354="Exc","Excelsa",IF(I354="Ara","Arabica",IF(I354="Lib","Liberica",""))))</f>
        <v>Excelsa</v>
      </c>
      <c r="O354" t="str">
        <f t="shared" si="11"/>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INDEX(products!$A$1:$G$49,MATCH($D355,products!$A$1:$A$49,0),MATCH(orders!I$1,products!$A$1:$G$1,0))</f>
        <v>Ara</v>
      </c>
      <c r="J355" t="str">
        <f>INDEX(products!$A$1:$G$49,MATCH($D355,products!$A$1:$A$49,0),MATCH(orders!J$1,products!$A$1:$G$1,0))</f>
        <v>M</v>
      </c>
      <c r="K355" s="4">
        <f>INDEX(products!$A$1:$G$49,MATCH($D355,products!$A$1:$A$49,0),MATCH(orders!K$1,products!$A$1:$G$1,0))</f>
        <v>0.5</v>
      </c>
      <c r="L355" s="5">
        <f>INDEX(products!$A$1:$G$49,MATCH($D355,products!$A$1:$A$49,0),MATCH(orders!L$1,products!$A$1:$G$1,0))</f>
        <v>6.75</v>
      </c>
      <c r="M355" s="5">
        <f t="shared" si="10"/>
        <v>27</v>
      </c>
      <c r="N355" t="str">
        <f>IF(I355="Rob","Robusta",IF(I355="Exc","Excelsa",IF(I355="Ara","Arabica",IF(I355="Lib","Liberica",""))))</f>
        <v>Arabica</v>
      </c>
      <c r="O355" t="str">
        <f t="shared" si="11"/>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INDEX(products!$A$1:$G$49,MATCH($D356,products!$A$1:$A$49,0),MATCH(orders!I$1,products!$A$1:$G$1,0))</f>
        <v>Ara</v>
      </c>
      <c r="J356" t="str">
        <f>INDEX(products!$A$1:$G$49,MATCH($D356,products!$A$1:$A$49,0),MATCH(orders!J$1,products!$A$1:$G$1,0))</f>
        <v>M</v>
      </c>
      <c r="K356" s="4">
        <f>INDEX(products!$A$1:$G$49,MATCH($D356,products!$A$1:$A$49,0),MATCH(orders!K$1,products!$A$1:$G$1,0))</f>
        <v>2.5</v>
      </c>
      <c r="L356" s="5">
        <f>INDEX(products!$A$1:$G$49,MATCH($D356,products!$A$1:$A$49,0),MATCH(orders!L$1,products!$A$1:$G$1,0))</f>
        <v>25.874999999999996</v>
      </c>
      <c r="M356" s="5">
        <f t="shared" si="10"/>
        <v>155.24999999999997</v>
      </c>
      <c r="N356" t="str">
        <f>IF(I356="Rob","Robusta",IF(I356="Exc","Excelsa",IF(I356="Ara","Arabica",IF(I356="Lib","Liberica",""))))</f>
        <v>Arabica</v>
      </c>
      <c r="O356" t="str">
        <f t="shared" si="11"/>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INDEX(products!$A$1:$G$49,MATCH($D357,products!$A$1:$A$49,0),MATCH(orders!I$1,products!$A$1:$G$1,0))</f>
        <v>Ara</v>
      </c>
      <c r="J357" t="str">
        <f>INDEX(products!$A$1:$G$49,MATCH($D357,products!$A$1:$A$49,0),MATCH(orders!J$1,products!$A$1:$G$1,0))</f>
        <v>D</v>
      </c>
      <c r="K357" s="4">
        <f>INDEX(products!$A$1:$G$49,MATCH($D357,products!$A$1:$A$49,0),MATCH(orders!K$1,products!$A$1:$G$1,0))</f>
        <v>2.5</v>
      </c>
      <c r="L357" s="5">
        <f>INDEX(products!$A$1:$G$49,MATCH($D357,products!$A$1:$A$49,0),MATCH(orders!L$1,products!$A$1:$G$1,0))</f>
        <v>22.884999999999998</v>
      </c>
      <c r="M357" s="5">
        <f t="shared" si="10"/>
        <v>114.42499999999998</v>
      </c>
      <c r="N357" t="str">
        <f>IF(I357="Rob","Robusta",IF(I357="Exc","Excelsa",IF(I357="Ara","Arabica",IF(I357="Lib","Liberica",""))))</f>
        <v>Arabica</v>
      </c>
      <c r="O357" t="str">
        <f t="shared" si="11"/>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INDEX(products!$A$1:$G$49,MATCH($D358,products!$A$1:$A$49,0),MATCH(orders!I$1,products!$A$1:$G$1,0))</f>
        <v>Lib</v>
      </c>
      <c r="J358" t="str">
        <f>INDEX(products!$A$1:$G$49,MATCH($D358,products!$A$1:$A$49,0),MATCH(orders!J$1,products!$A$1:$G$1,0))</f>
        <v>D</v>
      </c>
      <c r="K358" s="4">
        <f>INDEX(products!$A$1:$G$49,MATCH($D358,products!$A$1:$A$49,0),MATCH(orders!K$1,products!$A$1:$G$1,0))</f>
        <v>1</v>
      </c>
      <c r="L358" s="5">
        <f>INDEX(products!$A$1:$G$49,MATCH($D358,products!$A$1:$A$49,0),MATCH(orders!L$1,products!$A$1:$G$1,0))</f>
        <v>12.95</v>
      </c>
      <c r="M358" s="5">
        <f t="shared" si="10"/>
        <v>51.8</v>
      </c>
      <c r="N358" t="str">
        <f>IF(I358="Rob","Robusta",IF(I358="Exc","Excelsa",IF(I358="Ara","Arabica",IF(I358="Lib","Liberica",""))))</f>
        <v>Liberica</v>
      </c>
      <c r="O358" t="str">
        <f t="shared" si="11"/>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INDEX(products!$A$1:$G$49,MATCH($D359,products!$A$1:$A$49,0),MATCH(orders!I$1,products!$A$1:$G$1,0))</f>
        <v>Ara</v>
      </c>
      <c r="J359" t="str">
        <f>INDEX(products!$A$1:$G$49,MATCH($D359,products!$A$1:$A$49,0),MATCH(orders!J$1,products!$A$1:$G$1,0))</f>
        <v>M</v>
      </c>
      <c r="K359" s="4">
        <f>INDEX(products!$A$1:$G$49,MATCH($D359,products!$A$1:$A$49,0),MATCH(orders!K$1,products!$A$1:$G$1,0))</f>
        <v>2.5</v>
      </c>
      <c r="L359" s="5">
        <f>INDEX(products!$A$1:$G$49,MATCH($D359,products!$A$1:$A$49,0),MATCH(orders!L$1,products!$A$1:$G$1,0))</f>
        <v>25.874999999999996</v>
      </c>
      <c r="M359" s="5">
        <f t="shared" si="10"/>
        <v>155.24999999999997</v>
      </c>
      <c r="N359" t="str">
        <f>IF(I359="Rob","Robusta",IF(I359="Exc","Excelsa",IF(I359="Ara","Arabica",IF(I359="Lib","Liberica",""))))</f>
        <v>Arabica</v>
      </c>
      <c r="O359" t="str">
        <f t="shared" si="11"/>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INDEX(products!$A$1:$G$49,MATCH($D360,products!$A$1:$A$49,0),MATCH(orders!I$1,products!$A$1:$G$1,0))</f>
        <v>Ara</v>
      </c>
      <c r="J360" t="str">
        <f>INDEX(products!$A$1:$G$49,MATCH($D360,products!$A$1:$A$49,0),MATCH(orders!J$1,products!$A$1:$G$1,0))</f>
        <v>L</v>
      </c>
      <c r="K360" s="4">
        <f>INDEX(products!$A$1:$G$49,MATCH($D360,products!$A$1:$A$49,0),MATCH(orders!K$1,products!$A$1:$G$1,0))</f>
        <v>2.5</v>
      </c>
      <c r="L360" s="5">
        <f>INDEX(products!$A$1:$G$49,MATCH($D360,products!$A$1:$A$49,0),MATCH(orders!L$1,products!$A$1:$G$1,0))</f>
        <v>29.784999999999997</v>
      </c>
      <c r="M360" s="5">
        <f t="shared" si="10"/>
        <v>29.784999999999997</v>
      </c>
      <c r="N360" t="str">
        <f>IF(I360="Rob","Robusta",IF(I360="Exc","Excelsa",IF(I360="Ara","Arabica",IF(I360="Lib","Liberica",""))))</f>
        <v>Arabica</v>
      </c>
      <c r="O360" t="str">
        <f t="shared" si="11"/>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INDEX(products!$A$1:$G$49,MATCH($D361,products!$A$1:$A$49,0),MATCH(orders!I$1,products!$A$1:$G$1,0))</f>
        <v>Rob</v>
      </c>
      <c r="J361" t="str">
        <f>INDEX(products!$A$1:$G$49,MATCH($D361,products!$A$1:$A$49,0),MATCH(orders!J$1,products!$A$1:$G$1,0))</f>
        <v>L</v>
      </c>
      <c r="K361" s="4">
        <f>INDEX(products!$A$1:$G$49,MATCH($D361,products!$A$1:$A$49,0),MATCH(orders!K$1,products!$A$1:$G$1,0))</f>
        <v>0.2</v>
      </c>
      <c r="L361" s="5">
        <f>INDEX(products!$A$1:$G$49,MATCH($D361,products!$A$1:$A$49,0),MATCH(orders!L$1,products!$A$1:$G$1,0))</f>
        <v>3.5849999999999995</v>
      </c>
      <c r="M361" s="5">
        <f t="shared" si="10"/>
        <v>21.509999999999998</v>
      </c>
      <c r="N361" t="str">
        <f>IF(I361="Rob","Robusta",IF(I361="Exc","Excelsa",IF(I361="Ara","Arabica",IF(I361="Lib","Liberica",""))))</f>
        <v>Robusta</v>
      </c>
      <c r="O361" t="str">
        <f t="shared" si="11"/>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INDEX(products!$A$1:$G$49,MATCH($D362,products!$A$1:$A$49,0),MATCH(orders!I$1,products!$A$1:$G$1,0))</f>
        <v>Rob</v>
      </c>
      <c r="J362" t="str">
        <f>INDEX(products!$A$1:$G$49,MATCH($D362,products!$A$1:$A$49,0),MATCH(orders!J$1,products!$A$1:$G$1,0))</f>
        <v>D</v>
      </c>
      <c r="K362" s="4">
        <f>INDEX(products!$A$1:$G$49,MATCH($D362,products!$A$1:$A$49,0),MATCH(orders!K$1,products!$A$1:$G$1,0))</f>
        <v>2.5</v>
      </c>
      <c r="L362" s="5">
        <f>INDEX(products!$A$1:$G$49,MATCH($D362,products!$A$1:$A$49,0),MATCH(orders!L$1,products!$A$1:$G$1,0))</f>
        <v>20.584999999999997</v>
      </c>
      <c r="M362" s="5">
        <f t="shared" si="10"/>
        <v>41.169999999999995</v>
      </c>
      <c r="N362" t="str">
        <f>IF(I362="Rob","Robusta",IF(I362="Exc","Excelsa",IF(I362="Ara","Arabica",IF(I362="Lib","Liberica",""))))</f>
        <v>Robusta</v>
      </c>
      <c r="O362" t="str">
        <f t="shared" si="11"/>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INDEX(products!$A$1:$G$49,MATCH($D363,products!$A$1:$A$49,0),MATCH(orders!I$1,products!$A$1:$G$1,0))</f>
        <v>Rob</v>
      </c>
      <c r="J363" t="str">
        <f>INDEX(products!$A$1:$G$49,MATCH($D363,products!$A$1:$A$49,0),MATCH(orders!J$1,products!$A$1:$G$1,0))</f>
        <v>M</v>
      </c>
      <c r="K363" s="4">
        <f>INDEX(products!$A$1:$G$49,MATCH($D363,products!$A$1:$A$49,0),MATCH(orders!K$1,products!$A$1:$G$1,0))</f>
        <v>0.5</v>
      </c>
      <c r="L363" s="5">
        <f>INDEX(products!$A$1:$G$49,MATCH($D363,products!$A$1:$A$49,0),MATCH(orders!L$1,products!$A$1:$G$1,0))</f>
        <v>5.97</v>
      </c>
      <c r="M363" s="5">
        <f t="shared" si="10"/>
        <v>5.97</v>
      </c>
      <c r="N363" t="str">
        <f>IF(I363="Rob","Robusta",IF(I363="Exc","Excelsa",IF(I363="Ara","Arabica",IF(I363="Lib","Liberica",""))))</f>
        <v>Robusta</v>
      </c>
      <c r="O363" t="str">
        <f t="shared" si="11"/>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INDEX(products!$A$1:$G$49,MATCH($D364,products!$A$1:$A$49,0),MATCH(orders!I$1,products!$A$1:$G$1,0))</f>
        <v>Exc</v>
      </c>
      <c r="J364" t="str">
        <f>INDEX(products!$A$1:$G$49,MATCH($D364,products!$A$1:$A$49,0),MATCH(orders!J$1,products!$A$1:$G$1,0))</f>
        <v>L</v>
      </c>
      <c r="K364" s="4">
        <f>INDEX(products!$A$1:$G$49,MATCH($D364,products!$A$1:$A$49,0),MATCH(orders!K$1,products!$A$1:$G$1,0))</f>
        <v>1</v>
      </c>
      <c r="L364" s="5">
        <f>INDEX(products!$A$1:$G$49,MATCH($D364,products!$A$1:$A$49,0),MATCH(orders!L$1,products!$A$1:$G$1,0))</f>
        <v>14.85</v>
      </c>
      <c r="M364" s="5">
        <f t="shared" si="10"/>
        <v>74.25</v>
      </c>
      <c r="N364" t="str">
        <f>IF(I364="Rob","Robusta",IF(I364="Exc","Excelsa",IF(I364="Ara","Arabica",IF(I364="Lib","Liberica",""))))</f>
        <v>Excelsa</v>
      </c>
      <c r="O364" t="str">
        <f t="shared" si="11"/>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INDEX(products!$A$1:$G$49,MATCH($D365,products!$A$1:$A$49,0),MATCH(orders!I$1,products!$A$1:$G$1,0))</f>
        <v>Lib</v>
      </c>
      <c r="J365" t="str">
        <f>INDEX(products!$A$1:$G$49,MATCH($D365,products!$A$1:$A$49,0),MATCH(orders!J$1,products!$A$1:$G$1,0))</f>
        <v>M</v>
      </c>
      <c r="K365" s="4">
        <f>INDEX(products!$A$1:$G$49,MATCH($D365,products!$A$1:$A$49,0),MATCH(orders!K$1,products!$A$1:$G$1,0))</f>
        <v>1</v>
      </c>
      <c r="L365" s="5">
        <f>INDEX(products!$A$1:$G$49,MATCH($D365,products!$A$1:$A$49,0),MATCH(orders!L$1,products!$A$1:$G$1,0))</f>
        <v>14.55</v>
      </c>
      <c r="M365" s="5">
        <f t="shared" si="10"/>
        <v>87.300000000000011</v>
      </c>
      <c r="N365" t="str">
        <f>IF(I365="Rob","Robusta",IF(I365="Exc","Excelsa",IF(I365="Ara","Arabica",IF(I365="Lib","Liberica",""))))</f>
        <v>Liberica</v>
      </c>
      <c r="O365" t="str">
        <f t="shared" si="11"/>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INDEX(products!$A$1:$G$49,MATCH($D366,products!$A$1:$A$49,0),MATCH(orders!I$1,products!$A$1:$G$1,0))</f>
        <v>Exc</v>
      </c>
      <c r="J366" t="str">
        <f>INDEX(products!$A$1:$G$49,MATCH($D366,products!$A$1:$A$49,0),MATCH(orders!J$1,products!$A$1:$G$1,0))</f>
        <v>D</v>
      </c>
      <c r="K366" s="4">
        <f>INDEX(products!$A$1:$G$49,MATCH($D366,products!$A$1:$A$49,0),MATCH(orders!K$1,products!$A$1:$G$1,0))</f>
        <v>1</v>
      </c>
      <c r="L366" s="5">
        <f>INDEX(products!$A$1:$G$49,MATCH($D366,products!$A$1:$A$49,0),MATCH(orders!L$1,products!$A$1:$G$1,0))</f>
        <v>12.15</v>
      </c>
      <c r="M366" s="5">
        <f t="shared" si="10"/>
        <v>72.900000000000006</v>
      </c>
      <c r="N366" t="str">
        <f>IF(I366="Rob","Robusta",IF(I366="Exc","Excelsa",IF(I366="Ara","Arabica",IF(I366="Lib","Liberica",""))))</f>
        <v>Excelsa</v>
      </c>
      <c r="O366" t="str">
        <f t="shared" si="11"/>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INDEX(products!$A$1:$G$49,MATCH($D367,products!$A$1:$A$49,0),MATCH(orders!I$1,products!$A$1:$G$1,0))</f>
        <v>Lib</v>
      </c>
      <c r="J367" t="str">
        <f>INDEX(products!$A$1:$G$49,MATCH($D367,products!$A$1:$A$49,0),MATCH(orders!J$1,products!$A$1:$G$1,0))</f>
        <v>D</v>
      </c>
      <c r="K367" s="4">
        <f>INDEX(products!$A$1:$G$49,MATCH($D367,products!$A$1:$A$49,0),MATCH(orders!K$1,products!$A$1:$G$1,0))</f>
        <v>0.5</v>
      </c>
      <c r="L367" s="5">
        <f>INDEX(products!$A$1:$G$49,MATCH($D367,products!$A$1:$A$49,0),MATCH(orders!L$1,products!$A$1:$G$1,0))</f>
        <v>7.77</v>
      </c>
      <c r="M367" s="5">
        <f t="shared" si="10"/>
        <v>7.77</v>
      </c>
      <c r="N367" t="str">
        <f>IF(I367="Rob","Robusta",IF(I367="Exc","Excelsa",IF(I367="Ara","Arabica",IF(I367="Lib","Liberica",""))))</f>
        <v>Liberica</v>
      </c>
      <c r="O367" t="str">
        <f t="shared" si="11"/>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INDEX(products!$A$1:$G$49,MATCH($D368,products!$A$1:$A$49,0),MATCH(orders!I$1,products!$A$1:$G$1,0))</f>
        <v>Exc</v>
      </c>
      <c r="J368" t="str">
        <f>INDEX(products!$A$1:$G$49,MATCH($D368,products!$A$1:$A$49,0),MATCH(orders!J$1,products!$A$1:$G$1,0))</f>
        <v>D</v>
      </c>
      <c r="K368" s="4">
        <f>INDEX(products!$A$1:$G$49,MATCH($D368,products!$A$1:$A$49,0),MATCH(orders!K$1,products!$A$1:$G$1,0))</f>
        <v>0.5</v>
      </c>
      <c r="L368" s="5">
        <f>INDEX(products!$A$1:$G$49,MATCH($D368,products!$A$1:$A$49,0),MATCH(orders!L$1,products!$A$1:$G$1,0))</f>
        <v>7.29</v>
      </c>
      <c r="M368" s="5">
        <f t="shared" si="10"/>
        <v>43.74</v>
      </c>
      <c r="N368" t="str">
        <f>IF(I368="Rob","Robusta",IF(I368="Exc","Excelsa",IF(I368="Ara","Arabica",IF(I368="Lib","Liberica",""))))</f>
        <v>Excelsa</v>
      </c>
      <c r="O368" t="str">
        <f t="shared" si="11"/>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INDEX(products!$A$1:$G$49,MATCH($D369,products!$A$1:$A$49,0),MATCH(orders!I$1,products!$A$1:$G$1,0))</f>
        <v>Lib</v>
      </c>
      <c r="J369" t="str">
        <f>INDEX(products!$A$1:$G$49,MATCH($D369,products!$A$1:$A$49,0),MATCH(orders!J$1,products!$A$1:$G$1,0))</f>
        <v>M</v>
      </c>
      <c r="K369" s="4">
        <f>INDEX(products!$A$1:$G$49,MATCH($D369,products!$A$1:$A$49,0),MATCH(orders!K$1,products!$A$1:$G$1,0))</f>
        <v>0.2</v>
      </c>
      <c r="L369" s="5">
        <f>INDEX(products!$A$1:$G$49,MATCH($D369,products!$A$1:$A$49,0),MATCH(orders!L$1,products!$A$1:$G$1,0))</f>
        <v>4.3650000000000002</v>
      </c>
      <c r="M369" s="5">
        <f t="shared" si="10"/>
        <v>8.73</v>
      </c>
      <c r="N369" t="str">
        <f>IF(I369="Rob","Robusta",IF(I369="Exc","Excelsa",IF(I369="Ara","Arabica",IF(I369="Lib","Liberica",""))))</f>
        <v>Liberica</v>
      </c>
      <c r="O369" t="str">
        <f t="shared" si="11"/>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INDEX(products!$A$1:$G$49,MATCH($D370,products!$A$1:$A$49,0),MATCH(orders!I$1,products!$A$1:$G$1,0))</f>
        <v>Exc</v>
      </c>
      <c r="J370" t="str">
        <f>INDEX(products!$A$1:$G$49,MATCH($D370,products!$A$1:$A$49,0),MATCH(orders!J$1,products!$A$1:$G$1,0))</f>
        <v>M</v>
      </c>
      <c r="K370" s="4">
        <f>INDEX(products!$A$1:$G$49,MATCH($D370,products!$A$1:$A$49,0),MATCH(orders!K$1,products!$A$1:$G$1,0))</f>
        <v>2.5</v>
      </c>
      <c r="L370" s="5">
        <f>INDEX(products!$A$1:$G$49,MATCH($D370,products!$A$1:$A$49,0),MATCH(orders!L$1,products!$A$1:$G$1,0))</f>
        <v>31.624999999999996</v>
      </c>
      <c r="M370" s="5">
        <f t="shared" si="10"/>
        <v>63.249999999999993</v>
      </c>
      <c r="N370" t="str">
        <f>IF(I370="Rob","Robusta",IF(I370="Exc","Excelsa",IF(I370="Ara","Arabica",IF(I370="Lib","Liberica",""))))</f>
        <v>Excelsa</v>
      </c>
      <c r="O370" t="str">
        <f t="shared" si="11"/>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INDEX(products!$A$1:$G$49,MATCH($D371,products!$A$1:$A$49,0),MATCH(orders!I$1,products!$A$1:$G$1,0))</f>
        <v>Exc</v>
      </c>
      <c r="J371" t="str">
        <f>INDEX(products!$A$1:$G$49,MATCH($D371,products!$A$1:$A$49,0),MATCH(orders!J$1,products!$A$1:$G$1,0))</f>
        <v>L</v>
      </c>
      <c r="K371" s="4">
        <f>INDEX(products!$A$1:$G$49,MATCH($D371,products!$A$1:$A$49,0),MATCH(orders!K$1,products!$A$1:$G$1,0))</f>
        <v>0.5</v>
      </c>
      <c r="L371" s="5">
        <f>INDEX(products!$A$1:$G$49,MATCH($D371,products!$A$1:$A$49,0),MATCH(orders!L$1,products!$A$1:$G$1,0))</f>
        <v>8.91</v>
      </c>
      <c r="M371" s="5">
        <f t="shared" si="10"/>
        <v>8.91</v>
      </c>
      <c r="N371" t="str">
        <f>IF(I371="Rob","Robusta",IF(I371="Exc","Excelsa",IF(I371="Ara","Arabica",IF(I371="Lib","Liberica",""))))</f>
        <v>Excelsa</v>
      </c>
      <c r="O371" t="str">
        <f t="shared" si="11"/>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INDEX(products!$A$1:$G$49,MATCH($D372,products!$A$1:$A$49,0),MATCH(orders!I$1,products!$A$1:$G$1,0))</f>
        <v>Exc</v>
      </c>
      <c r="J372" t="str">
        <f>INDEX(products!$A$1:$G$49,MATCH($D372,products!$A$1:$A$49,0),MATCH(orders!J$1,products!$A$1:$G$1,0))</f>
        <v>D</v>
      </c>
      <c r="K372" s="4">
        <f>INDEX(products!$A$1:$G$49,MATCH($D372,products!$A$1:$A$49,0),MATCH(orders!K$1,products!$A$1:$G$1,0))</f>
        <v>1</v>
      </c>
      <c r="L372" s="5">
        <f>INDEX(products!$A$1:$G$49,MATCH($D372,products!$A$1:$A$49,0),MATCH(orders!L$1,products!$A$1:$G$1,0))</f>
        <v>12.15</v>
      </c>
      <c r="M372" s="5">
        <f t="shared" si="10"/>
        <v>24.3</v>
      </c>
      <c r="N372" t="str">
        <f>IF(I372="Rob","Robusta",IF(I372="Exc","Excelsa",IF(I372="Ara","Arabica",IF(I372="Lib","Liberica",""))))</f>
        <v>Excelsa</v>
      </c>
      <c r="O372" t="str">
        <f t="shared" si="11"/>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INDEX(products!$A$1:$G$49,MATCH($D373,products!$A$1:$A$49,0),MATCH(orders!I$1,products!$A$1:$G$1,0))</f>
        <v>Ara</v>
      </c>
      <c r="J373" t="str">
        <f>INDEX(products!$A$1:$G$49,MATCH($D373,products!$A$1:$A$49,0),MATCH(orders!J$1,products!$A$1:$G$1,0))</f>
        <v>L</v>
      </c>
      <c r="K373" s="4">
        <f>INDEX(products!$A$1:$G$49,MATCH($D373,products!$A$1:$A$49,0),MATCH(orders!K$1,products!$A$1:$G$1,0))</f>
        <v>0.5</v>
      </c>
      <c r="L373" s="5">
        <f>INDEX(products!$A$1:$G$49,MATCH($D373,products!$A$1:$A$49,0),MATCH(orders!L$1,products!$A$1:$G$1,0))</f>
        <v>7.77</v>
      </c>
      <c r="M373" s="5">
        <f t="shared" si="10"/>
        <v>46.62</v>
      </c>
      <c r="N373" t="str">
        <f>IF(I373="Rob","Robusta",IF(I373="Exc","Excelsa",IF(I373="Ara","Arabica",IF(I373="Lib","Liberica",""))))</f>
        <v>Arabica</v>
      </c>
      <c r="O373" t="str">
        <f t="shared" si="11"/>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INDEX(products!$A$1:$G$49,MATCH($D374,products!$A$1:$A$49,0),MATCH(orders!I$1,products!$A$1:$G$1,0))</f>
        <v>Rob</v>
      </c>
      <c r="J374" t="str">
        <f>INDEX(products!$A$1:$G$49,MATCH($D374,products!$A$1:$A$49,0),MATCH(orders!J$1,products!$A$1:$G$1,0))</f>
        <v>L</v>
      </c>
      <c r="K374" s="4">
        <f>INDEX(products!$A$1:$G$49,MATCH($D374,products!$A$1:$A$49,0),MATCH(orders!K$1,products!$A$1:$G$1,0))</f>
        <v>0.5</v>
      </c>
      <c r="L374" s="5">
        <f>INDEX(products!$A$1:$G$49,MATCH($D374,products!$A$1:$A$49,0),MATCH(orders!L$1,products!$A$1:$G$1,0))</f>
        <v>7.169999999999999</v>
      </c>
      <c r="M374" s="5">
        <f t="shared" si="10"/>
        <v>43.019999999999996</v>
      </c>
      <c r="N374" t="str">
        <f>IF(I374="Rob","Robusta",IF(I374="Exc","Excelsa",IF(I374="Ara","Arabica",IF(I374="Lib","Liberica",""))))</f>
        <v>Robusta</v>
      </c>
      <c r="O374" t="str">
        <f t="shared" si="11"/>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INDEX(products!$A$1:$G$49,MATCH($D375,products!$A$1:$A$49,0),MATCH(orders!I$1,products!$A$1:$G$1,0))</f>
        <v>Ara</v>
      </c>
      <c r="J375" t="str">
        <f>INDEX(products!$A$1:$G$49,MATCH($D375,products!$A$1:$A$49,0),MATCH(orders!J$1,products!$A$1:$G$1,0))</f>
        <v>D</v>
      </c>
      <c r="K375" s="4">
        <f>INDEX(products!$A$1:$G$49,MATCH($D375,products!$A$1:$A$49,0),MATCH(orders!K$1,products!$A$1:$G$1,0))</f>
        <v>0.5</v>
      </c>
      <c r="L375" s="5">
        <f>INDEX(products!$A$1:$G$49,MATCH($D375,products!$A$1:$A$49,0),MATCH(orders!L$1,products!$A$1:$G$1,0))</f>
        <v>5.97</v>
      </c>
      <c r="M375" s="5">
        <f t="shared" si="10"/>
        <v>17.91</v>
      </c>
      <c r="N375" t="str">
        <f>IF(I375="Rob","Robusta",IF(I375="Exc","Excelsa",IF(I375="Ara","Arabica",IF(I375="Lib","Liberica",""))))</f>
        <v>Arabica</v>
      </c>
      <c r="O375" t="str">
        <f t="shared" si="11"/>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INDEX(products!$A$1:$G$49,MATCH($D376,products!$A$1:$A$49,0),MATCH(orders!I$1,products!$A$1:$G$1,0))</f>
        <v>Lib</v>
      </c>
      <c r="J376" t="str">
        <f>INDEX(products!$A$1:$G$49,MATCH($D376,products!$A$1:$A$49,0),MATCH(orders!J$1,products!$A$1:$G$1,0))</f>
        <v>L</v>
      </c>
      <c r="K376" s="4">
        <f>INDEX(products!$A$1:$G$49,MATCH($D376,products!$A$1:$A$49,0),MATCH(orders!K$1,products!$A$1:$G$1,0))</f>
        <v>0.5</v>
      </c>
      <c r="L376" s="5">
        <f>INDEX(products!$A$1:$G$49,MATCH($D376,products!$A$1:$A$49,0),MATCH(orders!L$1,products!$A$1:$G$1,0))</f>
        <v>9.51</v>
      </c>
      <c r="M376" s="5">
        <f t="shared" si="10"/>
        <v>38.04</v>
      </c>
      <c r="N376" t="str">
        <f>IF(I376="Rob","Robusta",IF(I376="Exc","Excelsa",IF(I376="Ara","Arabica",IF(I376="Lib","Liberica",""))))</f>
        <v>Liberica</v>
      </c>
      <c r="O376" t="str">
        <f t="shared" si="11"/>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INDEX(products!$A$1:$G$49,MATCH($D377,products!$A$1:$A$49,0),MATCH(orders!I$1,products!$A$1:$G$1,0))</f>
        <v>Ara</v>
      </c>
      <c r="J377" t="str">
        <f>INDEX(products!$A$1:$G$49,MATCH($D377,products!$A$1:$A$49,0),MATCH(orders!J$1,products!$A$1:$G$1,0))</f>
        <v>M</v>
      </c>
      <c r="K377" s="4">
        <f>INDEX(products!$A$1:$G$49,MATCH($D377,products!$A$1:$A$49,0),MATCH(orders!K$1,products!$A$1:$G$1,0))</f>
        <v>0.2</v>
      </c>
      <c r="L377" s="5">
        <f>INDEX(products!$A$1:$G$49,MATCH($D377,products!$A$1:$A$49,0),MATCH(orders!L$1,products!$A$1:$G$1,0))</f>
        <v>3.375</v>
      </c>
      <c r="M377" s="5">
        <f t="shared" si="10"/>
        <v>6.75</v>
      </c>
      <c r="N377" t="str">
        <f>IF(I377="Rob","Robusta",IF(I377="Exc","Excelsa",IF(I377="Ara","Arabica",IF(I377="Lib","Liberica",""))))</f>
        <v>Arabica</v>
      </c>
      <c r="O377" t="str">
        <f t="shared" si="11"/>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INDEX(products!$A$1:$G$49,MATCH($D378,products!$A$1:$A$49,0),MATCH(orders!I$1,products!$A$1:$G$1,0))</f>
        <v>Rob</v>
      </c>
      <c r="J378" t="str">
        <f>INDEX(products!$A$1:$G$49,MATCH($D378,products!$A$1:$A$49,0),MATCH(orders!J$1,products!$A$1:$G$1,0))</f>
        <v>M</v>
      </c>
      <c r="K378" s="4">
        <f>INDEX(products!$A$1:$G$49,MATCH($D378,products!$A$1:$A$49,0),MATCH(orders!K$1,products!$A$1:$G$1,0))</f>
        <v>0.5</v>
      </c>
      <c r="L378" s="5">
        <f>INDEX(products!$A$1:$G$49,MATCH($D378,products!$A$1:$A$49,0),MATCH(orders!L$1,products!$A$1:$G$1,0))</f>
        <v>5.97</v>
      </c>
      <c r="M378" s="5">
        <f t="shared" si="10"/>
        <v>5.97</v>
      </c>
      <c r="N378" t="str">
        <f>IF(I378="Rob","Robusta",IF(I378="Exc","Excelsa",IF(I378="Ara","Arabica",IF(I378="Lib","Liberica",""))))</f>
        <v>Robusta</v>
      </c>
      <c r="O378" t="str">
        <f t="shared" si="11"/>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INDEX(products!$A$1:$G$49,MATCH($D379,products!$A$1:$A$49,0),MATCH(orders!I$1,products!$A$1:$G$1,0))</f>
        <v>Rob</v>
      </c>
      <c r="J379" t="str">
        <f>INDEX(products!$A$1:$G$49,MATCH($D379,products!$A$1:$A$49,0),MATCH(orders!J$1,products!$A$1:$G$1,0))</f>
        <v>D</v>
      </c>
      <c r="K379" s="4">
        <f>INDEX(products!$A$1:$G$49,MATCH($D379,products!$A$1:$A$49,0),MATCH(orders!K$1,products!$A$1:$G$1,0))</f>
        <v>0.2</v>
      </c>
      <c r="L379" s="5">
        <f>INDEX(products!$A$1:$G$49,MATCH($D379,products!$A$1:$A$49,0),MATCH(orders!L$1,products!$A$1:$G$1,0))</f>
        <v>2.6849999999999996</v>
      </c>
      <c r="M379" s="5">
        <f t="shared" si="10"/>
        <v>8.0549999999999997</v>
      </c>
      <c r="N379" t="str">
        <f>IF(I379="Rob","Robusta",IF(I379="Exc","Excelsa",IF(I379="Ara","Arabica",IF(I379="Lib","Liberica",""))))</f>
        <v>Robusta</v>
      </c>
      <c r="O379" t="str">
        <f t="shared" si="11"/>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INDEX(products!$A$1:$G$49,MATCH($D380,products!$A$1:$A$49,0),MATCH(orders!I$1,products!$A$1:$G$1,0))</f>
        <v>Ara</v>
      </c>
      <c r="J380" t="str">
        <f>INDEX(products!$A$1:$G$49,MATCH($D380,products!$A$1:$A$49,0),MATCH(orders!J$1,products!$A$1:$G$1,0))</f>
        <v>L</v>
      </c>
      <c r="K380" s="4">
        <f>INDEX(products!$A$1:$G$49,MATCH($D380,products!$A$1:$A$49,0),MATCH(orders!K$1,products!$A$1:$G$1,0))</f>
        <v>0.5</v>
      </c>
      <c r="L380" s="5">
        <f>INDEX(products!$A$1:$G$49,MATCH($D380,products!$A$1:$A$49,0),MATCH(orders!L$1,products!$A$1:$G$1,0))</f>
        <v>7.77</v>
      </c>
      <c r="M380" s="5">
        <f t="shared" si="10"/>
        <v>23.31</v>
      </c>
      <c r="N380" t="str">
        <f>IF(I380="Rob","Robusta",IF(I380="Exc","Excelsa",IF(I380="Ara","Arabica",IF(I380="Lib","Liberica",""))))</f>
        <v>Arabica</v>
      </c>
      <c r="O380" t="str">
        <f t="shared" si="11"/>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INDEX(products!$A$1:$G$49,MATCH($D381,products!$A$1:$A$49,0),MATCH(orders!I$1,products!$A$1:$G$1,0))</f>
        <v>Rob</v>
      </c>
      <c r="J381" t="str">
        <f>INDEX(products!$A$1:$G$49,MATCH($D381,products!$A$1:$A$49,0),MATCH(orders!J$1,products!$A$1:$G$1,0))</f>
        <v>L</v>
      </c>
      <c r="K381" s="4">
        <f>INDEX(products!$A$1:$G$49,MATCH($D381,products!$A$1:$A$49,0),MATCH(orders!K$1,products!$A$1:$G$1,0))</f>
        <v>0.5</v>
      </c>
      <c r="L381" s="5">
        <f>INDEX(products!$A$1:$G$49,MATCH($D381,products!$A$1:$A$49,0),MATCH(orders!L$1,products!$A$1:$G$1,0))</f>
        <v>7.169999999999999</v>
      </c>
      <c r="M381" s="5">
        <f t="shared" si="10"/>
        <v>43.019999999999996</v>
      </c>
      <c r="N381" t="str">
        <f>IF(I381="Rob","Robusta",IF(I381="Exc","Excelsa",IF(I381="Ara","Arabica",IF(I381="Lib","Liberica",""))))</f>
        <v>Robusta</v>
      </c>
      <c r="O381" t="str">
        <f t="shared" si="11"/>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INDEX(products!$A$1:$G$49,MATCH($D382,products!$A$1:$A$49,0),MATCH(orders!I$1,products!$A$1:$G$1,0))</f>
        <v>Lib</v>
      </c>
      <c r="J382" t="str">
        <f>INDEX(products!$A$1:$G$49,MATCH($D382,products!$A$1:$A$49,0),MATCH(orders!J$1,products!$A$1:$G$1,0))</f>
        <v>D</v>
      </c>
      <c r="K382" s="4">
        <f>INDEX(products!$A$1:$G$49,MATCH($D382,products!$A$1:$A$49,0),MATCH(orders!K$1,products!$A$1:$G$1,0))</f>
        <v>0.5</v>
      </c>
      <c r="L382" s="5">
        <f>INDEX(products!$A$1:$G$49,MATCH($D382,products!$A$1:$A$49,0),MATCH(orders!L$1,products!$A$1:$G$1,0))</f>
        <v>7.77</v>
      </c>
      <c r="M382" s="5">
        <f t="shared" si="10"/>
        <v>23.31</v>
      </c>
      <c r="N382" t="str">
        <f>IF(I382="Rob","Robusta",IF(I382="Exc","Excelsa",IF(I382="Ara","Arabica",IF(I382="Lib","Liberica",""))))</f>
        <v>Liberica</v>
      </c>
      <c r="O382" t="str">
        <f t="shared" si="11"/>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INDEX(products!$A$1:$G$49,MATCH($D383,products!$A$1:$A$49,0),MATCH(orders!I$1,products!$A$1:$G$1,0))</f>
        <v>Ara</v>
      </c>
      <c r="J383" t="str">
        <f>INDEX(products!$A$1:$G$49,MATCH($D383,products!$A$1:$A$49,0),MATCH(orders!J$1,products!$A$1:$G$1,0))</f>
        <v>D</v>
      </c>
      <c r="K383" s="4">
        <f>INDEX(products!$A$1:$G$49,MATCH($D383,products!$A$1:$A$49,0),MATCH(orders!K$1,products!$A$1:$G$1,0))</f>
        <v>0.2</v>
      </c>
      <c r="L383" s="5">
        <f>INDEX(products!$A$1:$G$49,MATCH($D383,products!$A$1:$A$49,0),MATCH(orders!L$1,products!$A$1:$G$1,0))</f>
        <v>2.9849999999999999</v>
      </c>
      <c r="M383" s="5">
        <f t="shared" si="10"/>
        <v>14.924999999999999</v>
      </c>
      <c r="N383" t="str">
        <f>IF(I383="Rob","Robusta",IF(I383="Exc","Excelsa",IF(I383="Ara","Arabica",IF(I383="Lib","Liberica",""))))</f>
        <v>Arabica</v>
      </c>
      <c r="O383" t="str">
        <f t="shared" si="11"/>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INDEX(products!$A$1:$G$49,MATCH($D384,products!$A$1:$A$49,0),MATCH(orders!I$1,products!$A$1:$G$1,0))</f>
        <v>Exc</v>
      </c>
      <c r="J384" t="str">
        <f>INDEX(products!$A$1:$G$49,MATCH($D384,products!$A$1:$A$49,0),MATCH(orders!J$1,products!$A$1:$G$1,0))</f>
        <v>D</v>
      </c>
      <c r="K384" s="4">
        <f>INDEX(products!$A$1:$G$49,MATCH($D384,products!$A$1:$A$49,0),MATCH(orders!K$1,products!$A$1:$G$1,0))</f>
        <v>0.5</v>
      </c>
      <c r="L384" s="5">
        <f>INDEX(products!$A$1:$G$49,MATCH($D384,products!$A$1:$A$49,0),MATCH(orders!L$1,products!$A$1:$G$1,0))</f>
        <v>7.29</v>
      </c>
      <c r="M384" s="5">
        <f t="shared" si="10"/>
        <v>21.87</v>
      </c>
      <c r="N384" t="str">
        <f>IF(I384="Rob","Robusta",IF(I384="Exc","Excelsa",IF(I384="Ara","Arabica",IF(I384="Lib","Liberica",""))))</f>
        <v>Excelsa</v>
      </c>
      <c r="O384" t="str">
        <f t="shared" si="11"/>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INDEX(products!$A$1:$G$49,MATCH($D385,products!$A$1:$A$49,0),MATCH(orders!I$1,products!$A$1:$G$1,0))</f>
        <v>Exc</v>
      </c>
      <c r="J385" t="str">
        <f>INDEX(products!$A$1:$G$49,MATCH($D385,products!$A$1:$A$49,0),MATCH(orders!J$1,products!$A$1:$G$1,0))</f>
        <v>L</v>
      </c>
      <c r="K385" s="4">
        <f>INDEX(products!$A$1:$G$49,MATCH($D385,products!$A$1:$A$49,0),MATCH(orders!K$1,products!$A$1:$G$1,0))</f>
        <v>0.5</v>
      </c>
      <c r="L385" s="5">
        <f>INDEX(products!$A$1:$G$49,MATCH($D385,products!$A$1:$A$49,0),MATCH(orders!L$1,products!$A$1:$G$1,0))</f>
        <v>8.91</v>
      </c>
      <c r="M385" s="5">
        <f t="shared" si="10"/>
        <v>53.46</v>
      </c>
      <c r="N385" t="str">
        <f>IF(I385="Rob","Robusta",IF(I385="Exc","Excelsa",IF(I385="Ara","Arabica",IF(I385="Lib","Liberica",""))))</f>
        <v>Excelsa</v>
      </c>
      <c r="O385" t="str">
        <f t="shared" si="11"/>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INDEX(products!$A$1:$G$49,MATCH($D386,products!$A$1:$A$49,0),MATCH(orders!I$1,products!$A$1:$G$1,0))</f>
        <v>Ara</v>
      </c>
      <c r="J386" t="str">
        <f>INDEX(products!$A$1:$G$49,MATCH($D386,products!$A$1:$A$49,0),MATCH(orders!J$1,products!$A$1:$G$1,0))</f>
        <v>L</v>
      </c>
      <c r="K386" s="4">
        <f>INDEX(products!$A$1:$G$49,MATCH($D386,products!$A$1:$A$49,0),MATCH(orders!K$1,products!$A$1:$G$1,0))</f>
        <v>2.5</v>
      </c>
      <c r="L386" s="5">
        <f>INDEX(products!$A$1:$G$49,MATCH($D386,products!$A$1:$A$49,0),MATCH(orders!L$1,products!$A$1:$G$1,0))</f>
        <v>29.784999999999997</v>
      </c>
      <c r="M386" s="5">
        <f t="shared" si="10"/>
        <v>119.13999999999999</v>
      </c>
      <c r="N386" t="str">
        <f>IF(I386="Rob","Robusta",IF(I386="Exc","Excelsa",IF(I386="Ara","Arabica",IF(I386="Lib","Liberica",""))))</f>
        <v>Arabica</v>
      </c>
      <c r="O386" t="str">
        <f t="shared" si="11"/>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INDEX(products!$A$1:$G$49,MATCH($D387,products!$A$1:$A$49,0),MATCH(orders!I$1,products!$A$1:$G$1,0))</f>
        <v>Lib</v>
      </c>
      <c r="J387" t="str">
        <f>INDEX(products!$A$1:$G$49,MATCH($D387,products!$A$1:$A$49,0),MATCH(orders!J$1,products!$A$1:$G$1,0))</f>
        <v>M</v>
      </c>
      <c r="K387" s="4">
        <f>INDEX(products!$A$1:$G$49,MATCH($D387,products!$A$1:$A$49,0),MATCH(orders!K$1,products!$A$1:$G$1,0))</f>
        <v>0.5</v>
      </c>
      <c r="L387" s="5">
        <f>INDEX(products!$A$1:$G$49,MATCH($D387,products!$A$1:$A$49,0),MATCH(orders!L$1,products!$A$1:$G$1,0))</f>
        <v>8.73</v>
      </c>
      <c r="M387" s="5">
        <f t="shared" ref="M387:M450" si="12">L387*E387</f>
        <v>43.650000000000006</v>
      </c>
      <c r="N387" t="str">
        <f>IF(I387="Rob","Robusta",IF(I387="Exc","Excelsa",IF(I387="Ara","Arabica",IF(I387="Lib","Liberica",""))))</f>
        <v>Liberica</v>
      </c>
      <c r="O387" t="str">
        <f t="shared" ref="O387:O450" si="13">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INDEX(products!$A$1:$G$49,MATCH($D388,products!$A$1:$A$49,0),MATCH(orders!I$1,products!$A$1:$G$1,0))</f>
        <v>Ara</v>
      </c>
      <c r="J388" t="str">
        <f>INDEX(products!$A$1:$G$49,MATCH($D388,products!$A$1:$A$49,0),MATCH(orders!J$1,products!$A$1:$G$1,0))</f>
        <v>D</v>
      </c>
      <c r="K388" s="4">
        <f>INDEX(products!$A$1:$G$49,MATCH($D388,products!$A$1:$A$49,0),MATCH(orders!K$1,products!$A$1:$G$1,0))</f>
        <v>0.2</v>
      </c>
      <c r="L388" s="5">
        <f>INDEX(products!$A$1:$G$49,MATCH($D388,products!$A$1:$A$49,0),MATCH(orders!L$1,products!$A$1:$G$1,0))</f>
        <v>2.9849999999999999</v>
      </c>
      <c r="M388" s="5">
        <f t="shared" si="12"/>
        <v>17.91</v>
      </c>
      <c r="N388" t="str">
        <f>IF(I388="Rob","Robusta",IF(I388="Exc","Excelsa",IF(I388="Ara","Arabica",IF(I388="Lib","Liberica",""))))</f>
        <v>Arabica</v>
      </c>
      <c r="O388" t="str">
        <f t="shared" si="13"/>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INDEX(products!$A$1:$G$49,MATCH($D389,products!$A$1:$A$49,0),MATCH(orders!I$1,products!$A$1:$G$1,0))</f>
        <v>Exc</v>
      </c>
      <c r="J389" t="str">
        <f>INDEX(products!$A$1:$G$49,MATCH($D389,products!$A$1:$A$49,0),MATCH(orders!J$1,products!$A$1:$G$1,0))</f>
        <v>L</v>
      </c>
      <c r="K389" s="4">
        <f>INDEX(products!$A$1:$G$49,MATCH($D389,products!$A$1:$A$49,0),MATCH(orders!K$1,products!$A$1:$G$1,0))</f>
        <v>1</v>
      </c>
      <c r="L389" s="5">
        <f>INDEX(products!$A$1:$G$49,MATCH($D389,products!$A$1:$A$49,0),MATCH(orders!L$1,products!$A$1:$G$1,0))</f>
        <v>14.85</v>
      </c>
      <c r="M389" s="5">
        <f t="shared" si="12"/>
        <v>74.25</v>
      </c>
      <c r="N389" t="str">
        <f>IF(I389="Rob","Robusta",IF(I389="Exc","Excelsa",IF(I389="Ara","Arabica",IF(I389="Lib","Liberica",""))))</f>
        <v>Excelsa</v>
      </c>
      <c r="O389" t="str">
        <f t="shared" si="13"/>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INDEX(products!$A$1:$G$49,MATCH($D390,products!$A$1:$A$49,0),MATCH(orders!I$1,products!$A$1:$G$1,0))</f>
        <v>Lib</v>
      </c>
      <c r="J390" t="str">
        <f>INDEX(products!$A$1:$G$49,MATCH($D390,products!$A$1:$A$49,0),MATCH(orders!J$1,products!$A$1:$G$1,0))</f>
        <v>D</v>
      </c>
      <c r="K390" s="4">
        <f>INDEX(products!$A$1:$G$49,MATCH($D390,products!$A$1:$A$49,0),MATCH(orders!K$1,products!$A$1:$G$1,0))</f>
        <v>0.2</v>
      </c>
      <c r="L390" s="5">
        <f>INDEX(products!$A$1:$G$49,MATCH($D390,products!$A$1:$A$49,0),MATCH(orders!L$1,products!$A$1:$G$1,0))</f>
        <v>3.8849999999999998</v>
      </c>
      <c r="M390" s="5">
        <f t="shared" si="12"/>
        <v>11.654999999999999</v>
      </c>
      <c r="N390" t="str">
        <f>IF(I390="Rob","Robusta",IF(I390="Exc","Excelsa",IF(I390="Ara","Arabica",IF(I390="Lib","Liberica",""))))</f>
        <v>Liberica</v>
      </c>
      <c r="O390" t="str">
        <f t="shared" si="13"/>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INDEX(products!$A$1:$G$49,MATCH($D391,products!$A$1:$A$49,0),MATCH(orders!I$1,products!$A$1:$G$1,0))</f>
        <v>Lib</v>
      </c>
      <c r="J391" t="str">
        <f>INDEX(products!$A$1:$G$49,MATCH($D391,products!$A$1:$A$49,0),MATCH(orders!J$1,products!$A$1:$G$1,0))</f>
        <v>D</v>
      </c>
      <c r="K391" s="4">
        <f>INDEX(products!$A$1:$G$49,MATCH($D391,products!$A$1:$A$49,0),MATCH(orders!K$1,products!$A$1:$G$1,0))</f>
        <v>0.5</v>
      </c>
      <c r="L391" s="5">
        <f>INDEX(products!$A$1:$G$49,MATCH($D391,products!$A$1:$A$49,0),MATCH(orders!L$1,products!$A$1:$G$1,0))</f>
        <v>7.77</v>
      </c>
      <c r="M391" s="5">
        <f t="shared" si="12"/>
        <v>23.31</v>
      </c>
      <c r="N391" t="str">
        <f>IF(I391="Rob","Robusta",IF(I391="Exc","Excelsa",IF(I391="Ara","Arabica",IF(I391="Lib","Liberica",""))))</f>
        <v>Liberica</v>
      </c>
      <c r="O391" t="str">
        <f t="shared" si="13"/>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INDEX(products!$A$1:$G$49,MATCH($D392,products!$A$1:$A$49,0),MATCH(orders!I$1,products!$A$1:$G$1,0))</f>
        <v>Exc</v>
      </c>
      <c r="J392" t="str">
        <f>INDEX(products!$A$1:$G$49,MATCH($D392,products!$A$1:$A$49,0),MATCH(orders!J$1,products!$A$1:$G$1,0))</f>
        <v>D</v>
      </c>
      <c r="K392" s="4">
        <f>INDEX(products!$A$1:$G$49,MATCH($D392,products!$A$1:$A$49,0),MATCH(orders!K$1,products!$A$1:$G$1,0))</f>
        <v>0.5</v>
      </c>
      <c r="L392" s="5">
        <f>INDEX(products!$A$1:$G$49,MATCH($D392,products!$A$1:$A$49,0),MATCH(orders!L$1,products!$A$1:$G$1,0))</f>
        <v>7.29</v>
      </c>
      <c r="M392" s="5">
        <f t="shared" si="12"/>
        <v>14.58</v>
      </c>
      <c r="N392" t="str">
        <f>IF(I392="Rob","Robusta",IF(I392="Exc","Excelsa",IF(I392="Ara","Arabica",IF(I392="Lib","Liberica",""))))</f>
        <v>Excelsa</v>
      </c>
      <c r="O392" t="str">
        <f t="shared" si="13"/>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INDEX(products!$A$1:$G$49,MATCH($D393,products!$A$1:$A$49,0),MATCH(orders!I$1,products!$A$1:$G$1,0))</f>
        <v>Ara</v>
      </c>
      <c r="J393" t="str">
        <f>INDEX(products!$A$1:$G$49,MATCH($D393,products!$A$1:$A$49,0),MATCH(orders!J$1,products!$A$1:$G$1,0))</f>
        <v>M</v>
      </c>
      <c r="K393" s="4">
        <f>INDEX(products!$A$1:$G$49,MATCH($D393,products!$A$1:$A$49,0),MATCH(orders!K$1,products!$A$1:$G$1,0))</f>
        <v>0.5</v>
      </c>
      <c r="L393" s="5">
        <f>INDEX(products!$A$1:$G$49,MATCH($D393,products!$A$1:$A$49,0),MATCH(orders!L$1,products!$A$1:$G$1,0))</f>
        <v>6.75</v>
      </c>
      <c r="M393" s="5">
        <f t="shared" si="12"/>
        <v>13.5</v>
      </c>
      <c r="N393" t="str">
        <f>IF(I393="Rob","Robusta",IF(I393="Exc","Excelsa",IF(I393="Ara","Arabica",IF(I393="Lib","Liberica",""))))</f>
        <v>Arabica</v>
      </c>
      <c r="O393" t="str">
        <f t="shared" si="13"/>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INDEX(products!$A$1:$G$49,MATCH($D394,products!$A$1:$A$49,0),MATCH(orders!I$1,products!$A$1:$G$1,0))</f>
        <v>Exc</v>
      </c>
      <c r="J394" t="str">
        <f>INDEX(products!$A$1:$G$49,MATCH($D394,products!$A$1:$A$49,0),MATCH(orders!J$1,products!$A$1:$G$1,0))</f>
        <v>L</v>
      </c>
      <c r="K394" s="4">
        <f>INDEX(products!$A$1:$G$49,MATCH($D394,products!$A$1:$A$49,0),MATCH(orders!K$1,products!$A$1:$G$1,0))</f>
        <v>1</v>
      </c>
      <c r="L394" s="5">
        <f>INDEX(products!$A$1:$G$49,MATCH($D394,products!$A$1:$A$49,0),MATCH(orders!L$1,products!$A$1:$G$1,0))</f>
        <v>14.85</v>
      </c>
      <c r="M394" s="5">
        <f t="shared" si="12"/>
        <v>89.1</v>
      </c>
      <c r="N394" t="str">
        <f>IF(I394="Rob","Robusta",IF(I394="Exc","Excelsa",IF(I394="Ara","Arabica",IF(I394="Lib","Liberica",""))))</f>
        <v>Excelsa</v>
      </c>
      <c r="O394" t="str">
        <f t="shared" si="13"/>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INDEX(products!$A$1:$G$49,MATCH($D395,products!$A$1:$A$49,0),MATCH(orders!I$1,products!$A$1:$G$1,0))</f>
        <v>Ara</v>
      </c>
      <c r="J395" t="str">
        <f>INDEX(products!$A$1:$G$49,MATCH($D395,products!$A$1:$A$49,0),MATCH(orders!J$1,products!$A$1:$G$1,0))</f>
        <v>L</v>
      </c>
      <c r="K395" s="4">
        <f>INDEX(products!$A$1:$G$49,MATCH($D395,products!$A$1:$A$49,0),MATCH(orders!K$1,products!$A$1:$G$1,0))</f>
        <v>0.2</v>
      </c>
      <c r="L395" s="5">
        <f>INDEX(products!$A$1:$G$49,MATCH($D395,products!$A$1:$A$49,0),MATCH(orders!L$1,products!$A$1:$G$1,0))</f>
        <v>3.8849999999999998</v>
      </c>
      <c r="M395" s="5">
        <f t="shared" si="12"/>
        <v>3.8849999999999998</v>
      </c>
      <c r="N395" t="str">
        <f>IF(I395="Rob","Robusta",IF(I395="Exc","Excelsa",IF(I395="Ara","Arabica",IF(I395="Lib","Liberica",""))))</f>
        <v>Arabica</v>
      </c>
      <c r="O395" t="str">
        <f t="shared" si="13"/>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INDEX(products!$A$1:$G$49,MATCH($D396,products!$A$1:$A$49,0),MATCH(orders!I$1,products!$A$1:$G$1,0))</f>
        <v>Rob</v>
      </c>
      <c r="J396" t="str">
        <f>INDEX(products!$A$1:$G$49,MATCH($D396,products!$A$1:$A$49,0),MATCH(orders!J$1,products!$A$1:$G$1,0))</f>
        <v>L</v>
      </c>
      <c r="K396" s="4">
        <f>INDEX(products!$A$1:$G$49,MATCH($D396,products!$A$1:$A$49,0),MATCH(orders!K$1,products!$A$1:$G$1,0))</f>
        <v>2.5</v>
      </c>
      <c r="L396" s="5">
        <f>INDEX(products!$A$1:$G$49,MATCH($D396,products!$A$1:$A$49,0),MATCH(orders!L$1,products!$A$1:$G$1,0))</f>
        <v>27.484999999999996</v>
      </c>
      <c r="M396" s="5">
        <f t="shared" si="12"/>
        <v>109.93999999999998</v>
      </c>
      <c r="N396" t="str">
        <f>IF(I396="Rob","Robusta",IF(I396="Exc","Excelsa",IF(I396="Ara","Arabica",IF(I396="Lib","Liberica",""))))</f>
        <v>Robusta</v>
      </c>
      <c r="O396" t="str">
        <f t="shared" si="13"/>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INDEX(products!$A$1:$G$49,MATCH($D397,products!$A$1:$A$49,0),MATCH(orders!I$1,products!$A$1:$G$1,0))</f>
        <v>Lib</v>
      </c>
      <c r="J397" t="str">
        <f>INDEX(products!$A$1:$G$49,MATCH($D397,products!$A$1:$A$49,0),MATCH(orders!J$1,products!$A$1:$G$1,0))</f>
        <v>D</v>
      </c>
      <c r="K397" s="4">
        <f>INDEX(products!$A$1:$G$49,MATCH($D397,products!$A$1:$A$49,0),MATCH(orders!K$1,products!$A$1:$G$1,0))</f>
        <v>0.5</v>
      </c>
      <c r="L397" s="5">
        <f>INDEX(products!$A$1:$G$49,MATCH($D397,products!$A$1:$A$49,0),MATCH(orders!L$1,products!$A$1:$G$1,0))</f>
        <v>7.77</v>
      </c>
      <c r="M397" s="5">
        <f t="shared" si="12"/>
        <v>46.62</v>
      </c>
      <c r="N397" t="str">
        <f>IF(I397="Rob","Robusta",IF(I397="Exc","Excelsa",IF(I397="Ara","Arabica",IF(I397="Lib","Liberica",""))))</f>
        <v>Liberica</v>
      </c>
      <c r="O397" t="str">
        <f t="shared" si="13"/>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INDEX(products!$A$1:$G$49,MATCH($D398,products!$A$1:$A$49,0),MATCH(orders!I$1,products!$A$1:$G$1,0))</f>
        <v>Ara</v>
      </c>
      <c r="J398" t="str">
        <f>INDEX(products!$A$1:$G$49,MATCH($D398,products!$A$1:$A$49,0),MATCH(orders!J$1,products!$A$1:$G$1,0))</f>
        <v>L</v>
      </c>
      <c r="K398" s="4">
        <f>INDEX(products!$A$1:$G$49,MATCH($D398,products!$A$1:$A$49,0),MATCH(orders!K$1,products!$A$1:$G$1,0))</f>
        <v>0.5</v>
      </c>
      <c r="L398" s="5">
        <f>INDEX(products!$A$1:$G$49,MATCH($D398,products!$A$1:$A$49,0),MATCH(orders!L$1,products!$A$1:$G$1,0))</f>
        <v>7.77</v>
      </c>
      <c r="M398" s="5">
        <f t="shared" si="12"/>
        <v>38.849999999999994</v>
      </c>
      <c r="N398" t="str">
        <f>IF(I398="Rob","Robusta",IF(I398="Exc","Excelsa",IF(I398="Ara","Arabica",IF(I398="Lib","Liberica",""))))</f>
        <v>Arabica</v>
      </c>
      <c r="O398" t="str">
        <f t="shared" si="13"/>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INDEX(products!$A$1:$G$49,MATCH($D399,products!$A$1:$A$49,0),MATCH(orders!I$1,products!$A$1:$G$1,0))</f>
        <v>Lib</v>
      </c>
      <c r="J399" t="str">
        <f>INDEX(products!$A$1:$G$49,MATCH($D399,products!$A$1:$A$49,0),MATCH(orders!J$1,products!$A$1:$G$1,0))</f>
        <v>D</v>
      </c>
      <c r="K399" s="4">
        <f>INDEX(products!$A$1:$G$49,MATCH($D399,products!$A$1:$A$49,0),MATCH(orders!K$1,products!$A$1:$G$1,0))</f>
        <v>0.5</v>
      </c>
      <c r="L399" s="5">
        <f>INDEX(products!$A$1:$G$49,MATCH($D399,products!$A$1:$A$49,0),MATCH(orders!L$1,products!$A$1:$G$1,0))</f>
        <v>7.77</v>
      </c>
      <c r="M399" s="5">
        <f t="shared" si="12"/>
        <v>31.08</v>
      </c>
      <c r="N399" t="str">
        <f>IF(I399="Rob","Robusta",IF(I399="Exc","Excelsa",IF(I399="Ara","Arabica",IF(I399="Lib","Liberica",""))))</f>
        <v>Liberica</v>
      </c>
      <c r="O399" t="str">
        <f t="shared" si="13"/>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INDEX(products!$A$1:$G$49,MATCH($D400,products!$A$1:$A$49,0),MATCH(orders!I$1,products!$A$1:$G$1,0))</f>
        <v>Ara</v>
      </c>
      <c r="J400" t="str">
        <f>INDEX(products!$A$1:$G$49,MATCH($D400,products!$A$1:$A$49,0),MATCH(orders!J$1,products!$A$1:$G$1,0))</f>
        <v>D</v>
      </c>
      <c r="K400" s="4">
        <f>INDEX(products!$A$1:$G$49,MATCH($D400,products!$A$1:$A$49,0),MATCH(orders!K$1,products!$A$1:$G$1,0))</f>
        <v>0.2</v>
      </c>
      <c r="L400" s="5">
        <f>INDEX(products!$A$1:$G$49,MATCH($D400,products!$A$1:$A$49,0),MATCH(orders!L$1,products!$A$1:$G$1,0))</f>
        <v>2.9849999999999999</v>
      </c>
      <c r="M400" s="5">
        <f t="shared" si="12"/>
        <v>17.91</v>
      </c>
      <c r="N400" t="str">
        <f>IF(I400="Rob","Robusta",IF(I400="Exc","Excelsa",IF(I400="Ara","Arabica",IF(I400="Lib","Liberica",""))))</f>
        <v>Arabica</v>
      </c>
      <c r="O400" t="str">
        <f t="shared" si="13"/>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INDEX(products!$A$1:$G$49,MATCH($D401,products!$A$1:$A$49,0),MATCH(orders!I$1,products!$A$1:$G$1,0))</f>
        <v>Exc</v>
      </c>
      <c r="J401" t="str">
        <f>INDEX(products!$A$1:$G$49,MATCH($D401,products!$A$1:$A$49,0),MATCH(orders!J$1,products!$A$1:$G$1,0))</f>
        <v>D</v>
      </c>
      <c r="K401" s="4">
        <f>INDEX(products!$A$1:$G$49,MATCH($D401,products!$A$1:$A$49,0),MATCH(orders!K$1,products!$A$1:$G$1,0))</f>
        <v>2.5</v>
      </c>
      <c r="L401" s="5">
        <f>INDEX(products!$A$1:$G$49,MATCH($D401,products!$A$1:$A$49,0),MATCH(orders!L$1,products!$A$1:$G$1,0))</f>
        <v>27.945</v>
      </c>
      <c r="M401" s="5">
        <f t="shared" si="12"/>
        <v>167.67000000000002</v>
      </c>
      <c r="N401" t="str">
        <f>IF(I401="Rob","Robusta",IF(I401="Exc","Excelsa",IF(I401="Ara","Arabica",IF(I401="Lib","Liberica",""))))</f>
        <v>Excelsa</v>
      </c>
      <c r="O401" t="str">
        <f t="shared" si="13"/>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INDEX(products!$A$1:$G$49,MATCH($D402,products!$A$1:$A$49,0),MATCH(orders!I$1,products!$A$1:$G$1,0))</f>
        <v>Lib</v>
      </c>
      <c r="J402" t="str">
        <f>INDEX(products!$A$1:$G$49,MATCH($D402,products!$A$1:$A$49,0),MATCH(orders!J$1,products!$A$1:$G$1,0))</f>
        <v>L</v>
      </c>
      <c r="K402" s="4">
        <f>INDEX(products!$A$1:$G$49,MATCH($D402,products!$A$1:$A$49,0),MATCH(orders!K$1,products!$A$1:$G$1,0))</f>
        <v>1</v>
      </c>
      <c r="L402" s="5">
        <f>INDEX(products!$A$1:$G$49,MATCH($D402,products!$A$1:$A$49,0),MATCH(orders!L$1,products!$A$1:$G$1,0))</f>
        <v>15.85</v>
      </c>
      <c r="M402" s="5">
        <f t="shared" si="12"/>
        <v>63.4</v>
      </c>
      <c r="N402" t="str">
        <f>IF(I402="Rob","Robusta",IF(I402="Exc","Excelsa",IF(I402="Ara","Arabica",IF(I402="Lib","Liberica",""))))</f>
        <v>Liberica</v>
      </c>
      <c r="O402" t="str">
        <f t="shared" si="13"/>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INDEX(products!$A$1:$G$49,MATCH($D403,products!$A$1:$A$49,0),MATCH(orders!I$1,products!$A$1:$G$1,0))</f>
        <v>Lib</v>
      </c>
      <c r="J403" t="str">
        <f>INDEX(products!$A$1:$G$49,MATCH($D403,products!$A$1:$A$49,0),MATCH(orders!J$1,products!$A$1:$G$1,0))</f>
        <v>M</v>
      </c>
      <c r="K403" s="4">
        <f>INDEX(products!$A$1:$G$49,MATCH($D403,products!$A$1:$A$49,0),MATCH(orders!K$1,products!$A$1:$G$1,0))</f>
        <v>0.2</v>
      </c>
      <c r="L403" s="5">
        <f>INDEX(products!$A$1:$G$49,MATCH($D403,products!$A$1:$A$49,0),MATCH(orders!L$1,products!$A$1:$G$1,0))</f>
        <v>4.3650000000000002</v>
      </c>
      <c r="M403" s="5">
        <f t="shared" si="12"/>
        <v>8.73</v>
      </c>
      <c r="N403" t="str">
        <f>IF(I403="Rob","Robusta",IF(I403="Exc","Excelsa",IF(I403="Ara","Arabica",IF(I403="Lib","Liberica",""))))</f>
        <v>Liberica</v>
      </c>
      <c r="O403" t="str">
        <f t="shared" si="13"/>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INDEX(products!$A$1:$G$49,MATCH($D404,products!$A$1:$A$49,0),MATCH(orders!I$1,products!$A$1:$G$1,0))</f>
        <v>Rob</v>
      </c>
      <c r="J404" t="str">
        <f>INDEX(products!$A$1:$G$49,MATCH($D404,products!$A$1:$A$49,0),MATCH(orders!J$1,products!$A$1:$G$1,0))</f>
        <v>D</v>
      </c>
      <c r="K404" s="4">
        <f>INDEX(products!$A$1:$G$49,MATCH($D404,products!$A$1:$A$49,0),MATCH(orders!K$1,products!$A$1:$G$1,0))</f>
        <v>1</v>
      </c>
      <c r="L404" s="5">
        <f>INDEX(products!$A$1:$G$49,MATCH($D404,products!$A$1:$A$49,0),MATCH(orders!L$1,products!$A$1:$G$1,0))</f>
        <v>8.9499999999999993</v>
      </c>
      <c r="M404" s="5">
        <f t="shared" si="12"/>
        <v>26.849999999999998</v>
      </c>
      <c r="N404" t="str">
        <f>IF(I404="Rob","Robusta",IF(I404="Exc","Excelsa",IF(I404="Ara","Arabica",IF(I404="Lib","Liberica",""))))</f>
        <v>Robusta</v>
      </c>
      <c r="O404" t="str">
        <f t="shared" si="13"/>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INDEX(products!$A$1:$G$49,MATCH($D405,products!$A$1:$A$49,0),MATCH(orders!I$1,products!$A$1:$G$1,0))</f>
        <v>Lib</v>
      </c>
      <c r="J405" t="str">
        <f>INDEX(products!$A$1:$G$49,MATCH($D405,products!$A$1:$A$49,0),MATCH(orders!J$1,products!$A$1:$G$1,0))</f>
        <v>L</v>
      </c>
      <c r="K405" s="4">
        <f>INDEX(products!$A$1:$G$49,MATCH($D405,products!$A$1:$A$49,0),MATCH(orders!K$1,products!$A$1:$G$1,0))</f>
        <v>0.2</v>
      </c>
      <c r="L405" s="5">
        <f>INDEX(products!$A$1:$G$49,MATCH($D405,products!$A$1:$A$49,0),MATCH(orders!L$1,products!$A$1:$G$1,0))</f>
        <v>4.7549999999999999</v>
      </c>
      <c r="M405" s="5">
        <f t="shared" si="12"/>
        <v>9.51</v>
      </c>
      <c r="N405" t="str">
        <f>IF(I405="Rob","Robusta",IF(I405="Exc","Excelsa",IF(I405="Ara","Arabica",IF(I405="Lib","Liberica",""))))</f>
        <v>Liberica</v>
      </c>
      <c r="O405" t="str">
        <f t="shared" si="13"/>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INDEX(products!$A$1:$G$49,MATCH($D406,products!$A$1:$A$49,0),MATCH(orders!I$1,products!$A$1:$G$1,0))</f>
        <v>Ara</v>
      </c>
      <c r="J406" t="str">
        <f>INDEX(products!$A$1:$G$49,MATCH($D406,products!$A$1:$A$49,0),MATCH(orders!J$1,products!$A$1:$G$1,0))</f>
        <v>D</v>
      </c>
      <c r="K406" s="4">
        <f>INDEX(products!$A$1:$G$49,MATCH($D406,products!$A$1:$A$49,0),MATCH(orders!K$1,products!$A$1:$G$1,0))</f>
        <v>1</v>
      </c>
      <c r="L406" s="5">
        <f>INDEX(products!$A$1:$G$49,MATCH($D406,products!$A$1:$A$49,0),MATCH(orders!L$1,products!$A$1:$G$1,0))</f>
        <v>9.9499999999999993</v>
      </c>
      <c r="M406" s="5">
        <f t="shared" si="12"/>
        <v>39.799999999999997</v>
      </c>
      <c r="N406" t="str">
        <f>IF(I406="Rob","Robusta",IF(I406="Exc","Excelsa",IF(I406="Ara","Arabica",IF(I406="Lib","Liberica",""))))</f>
        <v>Arabica</v>
      </c>
      <c r="O406" t="str">
        <f t="shared" si="13"/>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INDEX(products!$A$1:$G$49,MATCH($D407,products!$A$1:$A$49,0),MATCH(orders!I$1,products!$A$1:$G$1,0))</f>
        <v>Exc</v>
      </c>
      <c r="J407" t="str">
        <f>INDEX(products!$A$1:$G$49,MATCH($D407,products!$A$1:$A$49,0),MATCH(orders!J$1,products!$A$1:$G$1,0))</f>
        <v>M</v>
      </c>
      <c r="K407" s="4">
        <f>INDEX(products!$A$1:$G$49,MATCH($D407,products!$A$1:$A$49,0),MATCH(orders!K$1,products!$A$1:$G$1,0))</f>
        <v>0.5</v>
      </c>
      <c r="L407" s="5">
        <f>INDEX(products!$A$1:$G$49,MATCH($D407,products!$A$1:$A$49,0),MATCH(orders!L$1,products!$A$1:$G$1,0))</f>
        <v>8.25</v>
      </c>
      <c r="M407" s="5">
        <f t="shared" si="12"/>
        <v>24.75</v>
      </c>
      <c r="N407" t="str">
        <f>IF(I407="Rob","Robusta",IF(I407="Exc","Excelsa",IF(I407="Ara","Arabica",IF(I407="Lib","Liberica",""))))</f>
        <v>Excelsa</v>
      </c>
      <c r="O407" t="str">
        <f t="shared" si="13"/>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INDEX(products!$A$1:$G$49,MATCH($D408,products!$A$1:$A$49,0),MATCH(orders!I$1,products!$A$1:$G$1,0))</f>
        <v>Exc</v>
      </c>
      <c r="J408" t="str">
        <f>INDEX(products!$A$1:$G$49,MATCH($D408,products!$A$1:$A$49,0),MATCH(orders!J$1,products!$A$1:$G$1,0))</f>
        <v>M</v>
      </c>
      <c r="K408" s="4">
        <f>INDEX(products!$A$1:$G$49,MATCH($D408,products!$A$1:$A$49,0),MATCH(orders!K$1,products!$A$1:$G$1,0))</f>
        <v>1</v>
      </c>
      <c r="L408" s="5">
        <f>INDEX(products!$A$1:$G$49,MATCH($D408,products!$A$1:$A$49,0),MATCH(orders!L$1,products!$A$1:$G$1,0))</f>
        <v>13.75</v>
      </c>
      <c r="M408" s="5">
        <f t="shared" si="12"/>
        <v>68.75</v>
      </c>
      <c r="N408" t="str">
        <f>IF(I408="Rob","Robusta",IF(I408="Exc","Excelsa",IF(I408="Ara","Arabica",IF(I408="Lib","Liberica",""))))</f>
        <v>Excelsa</v>
      </c>
      <c r="O408" t="str">
        <f t="shared" si="13"/>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INDEX(products!$A$1:$G$49,MATCH($D409,products!$A$1:$A$49,0),MATCH(orders!I$1,products!$A$1:$G$1,0))</f>
        <v>Exc</v>
      </c>
      <c r="J409" t="str">
        <f>INDEX(products!$A$1:$G$49,MATCH($D409,products!$A$1:$A$49,0),MATCH(orders!J$1,products!$A$1:$G$1,0))</f>
        <v>M</v>
      </c>
      <c r="K409" s="4">
        <f>INDEX(products!$A$1:$G$49,MATCH($D409,products!$A$1:$A$49,0),MATCH(orders!K$1,products!$A$1:$G$1,0))</f>
        <v>0.5</v>
      </c>
      <c r="L409" s="5">
        <f>INDEX(products!$A$1:$G$49,MATCH($D409,products!$A$1:$A$49,0),MATCH(orders!L$1,products!$A$1:$G$1,0))</f>
        <v>8.25</v>
      </c>
      <c r="M409" s="5">
        <f t="shared" si="12"/>
        <v>49.5</v>
      </c>
      <c r="N409" t="str">
        <f>IF(I409="Rob","Robusta",IF(I409="Exc","Excelsa",IF(I409="Ara","Arabica",IF(I409="Lib","Liberica",""))))</f>
        <v>Excelsa</v>
      </c>
      <c r="O409" t="str">
        <f t="shared" si="13"/>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INDEX(products!$A$1:$G$49,MATCH($D410,products!$A$1:$A$49,0),MATCH(orders!I$1,products!$A$1:$G$1,0))</f>
        <v>Ara</v>
      </c>
      <c r="J410" t="str">
        <f>INDEX(products!$A$1:$G$49,MATCH($D410,products!$A$1:$A$49,0),MATCH(orders!J$1,products!$A$1:$G$1,0))</f>
        <v>M</v>
      </c>
      <c r="K410" s="4">
        <f>INDEX(products!$A$1:$G$49,MATCH($D410,products!$A$1:$A$49,0),MATCH(orders!K$1,products!$A$1:$G$1,0))</f>
        <v>2.5</v>
      </c>
      <c r="L410" s="5">
        <f>INDEX(products!$A$1:$G$49,MATCH($D410,products!$A$1:$A$49,0),MATCH(orders!L$1,products!$A$1:$G$1,0))</f>
        <v>25.874999999999996</v>
      </c>
      <c r="M410" s="5">
        <f t="shared" si="12"/>
        <v>51.749999999999993</v>
      </c>
      <c r="N410" t="str">
        <f>IF(I410="Rob","Robusta",IF(I410="Exc","Excelsa",IF(I410="Ara","Arabica",IF(I410="Lib","Liberica",""))))</f>
        <v>Arabica</v>
      </c>
      <c r="O410" t="str">
        <f t="shared" si="13"/>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INDEX(products!$A$1:$G$49,MATCH($D411,products!$A$1:$A$49,0),MATCH(orders!I$1,products!$A$1:$G$1,0))</f>
        <v>Lib</v>
      </c>
      <c r="J411" t="str">
        <f>INDEX(products!$A$1:$G$49,MATCH($D411,products!$A$1:$A$49,0),MATCH(orders!J$1,products!$A$1:$G$1,0))</f>
        <v>L</v>
      </c>
      <c r="K411" s="4">
        <f>INDEX(products!$A$1:$G$49,MATCH($D411,products!$A$1:$A$49,0),MATCH(orders!K$1,products!$A$1:$G$1,0))</f>
        <v>1</v>
      </c>
      <c r="L411" s="5">
        <f>INDEX(products!$A$1:$G$49,MATCH($D411,products!$A$1:$A$49,0),MATCH(orders!L$1,products!$A$1:$G$1,0))</f>
        <v>15.85</v>
      </c>
      <c r="M411" s="5">
        <f t="shared" si="12"/>
        <v>47.55</v>
      </c>
      <c r="N411" t="str">
        <f>IF(I411="Rob","Robusta",IF(I411="Exc","Excelsa",IF(I411="Ara","Arabica",IF(I411="Lib","Liberica",""))))</f>
        <v>Liberica</v>
      </c>
      <c r="O411" t="str">
        <f t="shared" si="13"/>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INDEX(products!$A$1:$G$49,MATCH($D412,products!$A$1:$A$49,0),MATCH(orders!I$1,products!$A$1:$G$1,0))</f>
        <v>Ara</v>
      </c>
      <c r="J412" t="str">
        <f>INDEX(products!$A$1:$G$49,MATCH($D412,products!$A$1:$A$49,0),MATCH(orders!J$1,products!$A$1:$G$1,0))</f>
        <v>L</v>
      </c>
      <c r="K412" s="4">
        <f>INDEX(products!$A$1:$G$49,MATCH($D412,products!$A$1:$A$49,0),MATCH(orders!K$1,products!$A$1:$G$1,0))</f>
        <v>0.2</v>
      </c>
      <c r="L412" s="5">
        <f>INDEX(products!$A$1:$G$49,MATCH($D412,products!$A$1:$A$49,0),MATCH(orders!L$1,products!$A$1:$G$1,0))</f>
        <v>3.8849999999999998</v>
      </c>
      <c r="M412" s="5">
        <f t="shared" si="12"/>
        <v>15.54</v>
      </c>
      <c r="N412" t="str">
        <f>IF(I412="Rob","Robusta",IF(I412="Exc","Excelsa",IF(I412="Ara","Arabica",IF(I412="Lib","Liberica",""))))</f>
        <v>Arabica</v>
      </c>
      <c r="O412" t="str">
        <f t="shared" si="13"/>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INDEX(products!$A$1:$G$49,MATCH($D413,products!$A$1:$A$49,0),MATCH(orders!I$1,products!$A$1:$G$1,0))</f>
        <v>Lib</v>
      </c>
      <c r="J413" t="str">
        <f>INDEX(products!$A$1:$G$49,MATCH($D413,products!$A$1:$A$49,0),MATCH(orders!J$1,products!$A$1:$G$1,0))</f>
        <v>M</v>
      </c>
      <c r="K413" s="4">
        <f>INDEX(products!$A$1:$G$49,MATCH($D413,products!$A$1:$A$49,0),MATCH(orders!K$1,products!$A$1:$G$1,0))</f>
        <v>1</v>
      </c>
      <c r="L413" s="5">
        <f>INDEX(products!$A$1:$G$49,MATCH($D413,products!$A$1:$A$49,0),MATCH(orders!L$1,products!$A$1:$G$1,0))</f>
        <v>14.55</v>
      </c>
      <c r="M413" s="5">
        <f t="shared" si="12"/>
        <v>87.300000000000011</v>
      </c>
      <c r="N413" t="str">
        <f>IF(I413="Rob","Robusta",IF(I413="Exc","Excelsa",IF(I413="Ara","Arabica",IF(I413="Lib","Liberica",""))))</f>
        <v>Liberica</v>
      </c>
      <c r="O413" t="str">
        <f t="shared" si="13"/>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INDEX(products!$A$1:$G$49,MATCH($D414,products!$A$1:$A$49,0),MATCH(orders!I$1,products!$A$1:$G$1,0))</f>
        <v>Ara</v>
      </c>
      <c r="J414" t="str">
        <f>INDEX(products!$A$1:$G$49,MATCH($D414,products!$A$1:$A$49,0),MATCH(orders!J$1,products!$A$1:$G$1,0))</f>
        <v>M</v>
      </c>
      <c r="K414" s="4">
        <f>INDEX(products!$A$1:$G$49,MATCH($D414,products!$A$1:$A$49,0),MATCH(orders!K$1,products!$A$1:$G$1,0))</f>
        <v>1</v>
      </c>
      <c r="L414" s="5">
        <f>INDEX(products!$A$1:$G$49,MATCH($D414,products!$A$1:$A$49,0),MATCH(orders!L$1,products!$A$1:$G$1,0))</f>
        <v>11.25</v>
      </c>
      <c r="M414" s="5">
        <f t="shared" si="12"/>
        <v>56.25</v>
      </c>
      <c r="N414" t="str">
        <f>IF(I414="Rob","Robusta",IF(I414="Exc","Excelsa",IF(I414="Ara","Arabica",IF(I414="Lib","Liberica",""))))</f>
        <v>Arabica</v>
      </c>
      <c r="O414" t="str">
        <f t="shared" si="13"/>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INDEX(products!$A$1:$G$49,MATCH($D415,products!$A$1:$A$49,0),MATCH(orders!I$1,products!$A$1:$G$1,0))</f>
        <v>Lib</v>
      </c>
      <c r="J415" t="str">
        <f>INDEX(products!$A$1:$G$49,MATCH($D415,products!$A$1:$A$49,0),MATCH(orders!J$1,products!$A$1:$G$1,0))</f>
        <v>L</v>
      </c>
      <c r="K415" s="4">
        <f>INDEX(products!$A$1:$G$49,MATCH($D415,products!$A$1:$A$49,0),MATCH(orders!K$1,products!$A$1:$G$1,0))</f>
        <v>2.5</v>
      </c>
      <c r="L415" s="5">
        <f>INDEX(products!$A$1:$G$49,MATCH($D415,products!$A$1:$A$49,0),MATCH(orders!L$1,products!$A$1:$G$1,0))</f>
        <v>36.454999999999998</v>
      </c>
      <c r="M415" s="5">
        <f t="shared" si="12"/>
        <v>36.454999999999998</v>
      </c>
      <c r="N415" t="str">
        <f>IF(I415="Rob","Robusta",IF(I415="Exc","Excelsa",IF(I415="Ara","Arabica",IF(I415="Lib","Liberica",""))))</f>
        <v>Liberica</v>
      </c>
      <c r="O415" t="str">
        <f t="shared" si="13"/>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INDEX(products!$A$1:$G$49,MATCH($D416,products!$A$1:$A$49,0),MATCH(orders!I$1,products!$A$1:$G$1,0))</f>
        <v>Rob</v>
      </c>
      <c r="J416" t="str">
        <f>INDEX(products!$A$1:$G$49,MATCH($D416,products!$A$1:$A$49,0),MATCH(orders!J$1,products!$A$1:$G$1,0))</f>
        <v>L</v>
      </c>
      <c r="K416" s="4">
        <f>INDEX(products!$A$1:$G$49,MATCH($D416,products!$A$1:$A$49,0),MATCH(orders!K$1,products!$A$1:$G$1,0))</f>
        <v>0.2</v>
      </c>
      <c r="L416" s="5">
        <f>INDEX(products!$A$1:$G$49,MATCH($D416,products!$A$1:$A$49,0),MATCH(orders!L$1,products!$A$1:$G$1,0))</f>
        <v>3.5849999999999995</v>
      </c>
      <c r="M416" s="5">
        <f t="shared" si="12"/>
        <v>10.754999999999999</v>
      </c>
      <c r="N416" t="str">
        <f>IF(I416="Rob","Robusta",IF(I416="Exc","Excelsa",IF(I416="Ara","Arabica",IF(I416="Lib","Liberica",""))))</f>
        <v>Robusta</v>
      </c>
      <c r="O416" t="str">
        <f t="shared" si="13"/>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INDEX(products!$A$1:$G$49,MATCH($D417,products!$A$1:$A$49,0),MATCH(orders!I$1,products!$A$1:$G$1,0))</f>
        <v>Rob</v>
      </c>
      <c r="J417" t="str">
        <f>INDEX(products!$A$1:$G$49,MATCH($D417,products!$A$1:$A$49,0),MATCH(orders!J$1,products!$A$1:$G$1,0))</f>
        <v>M</v>
      </c>
      <c r="K417" s="4">
        <f>INDEX(products!$A$1:$G$49,MATCH($D417,products!$A$1:$A$49,0),MATCH(orders!K$1,products!$A$1:$G$1,0))</f>
        <v>0.2</v>
      </c>
      <c r="L417" s="5">
        <f>INDEX(products!$A$1:$G$49,MATCH($D417,products!$A$1:$A$49,0),MATCH(orders!L$1,products!$A$1:$G$1,0))</f>
        <v>2.9849999999999999</v>
      </c>
      <c r="M417" s="5">
        <f t="shared" si="12"/>
        <v>8.9550000000000001</v>
      </c>
      <c r="N417" t="str">
        <f>IF(I417="Rob","Robusta",IF(I417="Exc","Excelsa",IF(I417="Ara","Arabica",IF(I417="Lib","Liberica",""))))</f>
        <v>Robusta</v>
      </c>
      <c r="O417" t="str">
        <f t="shared" si="13"/>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INDEX(products!$A$1:$G$49,MATCH($D418,products!$A$1:$A$49,0),MATCH(orders!I$1,products!$A$1:$G$1,0))</f>
        <v>Ara</v>
      </c>
      <c r="J418" t="str">
        <f>INDEX(products!$A$1:$G$49,MATCH($D418,products!$A$1:$A$49,0),MATCH(orders!J$1,products!$A$1:$G$1,0))</f>
        <v>L</v>
      </c>
      <c r="K418" s="4">
        <f>INDEX(products!$A$1:$G$49,MATCH($D418,products!$A$1:$A$49,0),MATCH(orders!K$1,products!$A$1:$G$1,0))</f>
        <v>0.5</v>
      </c>
      <c r="L418" s="5">
        <f>INDEX(products!$A$1:$G$49,MATCH($D418,products!$A$1:$A$49,0),MATCH(orders!L$1,products!$A$1:$G$1,0))</f>
        <v>7.77</v>
      </c>
      <c r="M418" s="5">
        <f t="shared" si="12"/>
        <v>23.31</v>
      </c>
      <c r="N418" t="str">
        <f>IF(I418="Rob","Robusta",IF(I418="Exc","Excelsa",IF(I418="Ara","Arabica",IF(I418="Lib","Liberica",""))))</f>
        <v>Arabica</v>
      </c>
      <c r="O418" t="str">
        <f t="shared" si="13"/>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INDEX(products!$A$1:$G$49,MATCH($D419,products!$A$1:$A$49,0),MATCH(orders!I$1,products!$A$1:$G$1,0))</f>
        <v>Ara</v>
      </c>
      <c r="J419" t="str">
        <f>INDEX(products!$A$1:$G$49,MATCH($D419,products!$A$1:$A$49,0),MATCH(orders!J$1,products!$A$1:$G$1,0))</f>
        <v>L</v>
      </c>
      <c r="K419" s="4">
        <f>INDEX(products!$A$1:$G$49,MATCH($D419,products!$A$1:$A$49,0),MATCH(orders!K$1,products!$A$1:$G$1,0))</f>
        <v>2.5</v>
      </c>
      <c r="L419" s="5">
        <f>INDEX(products!$A$1:$G$49,MATCH($D419,products!$A$1:$A$49,0),MATCH(orders!L$1,products!$A$1:$G$1,0))</f>
        <v>29.784999999999997</v>
      </c>
      <c r="M419" s="5">
        <f t="shared" si="12"/>
        <v>29.784999999999997</v>
      </c>
      <c r="N419" t="str">
        <f>IF(I419="Rob","Robusta",IF(I419="Exc","Excelsa",IF(I419="Ara","Arabica",IF(I419="Lib","Liberica",""))))</f>
        <v>Arabica</v>
      </c>
      <c r="O419" t="str">
        <f t="shared" si="13"/>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INDEX(products!$A$1:$G$49,MATCH($D420,products!$A$1:$A$49,0),MATCH(orders!I$1,products!$A$1:$G$1,0))</f>
        <v>Ara</v>
      </c>
      <c r="J420" t="str">
        <f>INDEX(products!$A$1:$G$49,MATCH($D420,products!$A$1:$A$49,0),MATCH(orders!J$1,products!$A$1:$G$1,0))</f>
        <v>L</v>
      </c>
      <c r="K420" s="4">
        <f>INDEX(products!$A$1:$G$49,MATCH($D420,products!$A$1:$A$49,0),MATCH(orders!K$1,products!$A$1:$G$1,0))</f>
        <v>2.5</v>
      </c>
      <c r="L420" s="5">
        <f>INDEX(products!$A$1:$G$49,MATCH($D420,products!$A$1:$A$49,0),MATCH(orders!L$1,products!$A$1:$G$1,0))</f>
        <v>29.784999999999997</v>
      </c>
      <c r="M420" s="5">
        <f t="shared" si="12"/>
        <v>148.92499999999998</v>
      </c>
      <c r="N420" t="str">
        <f>IF(I420="Rob","Robusta",IF(I420="Exc","Excelsa",IF(I420="Ara","Arabica",IF(I420="Lib","Liberica",""))))</f>
        <v>Arabica</v>
      </c>
      <c r="O420" t="str">
        <f t="shared" si="13"/>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INDEX(products!$A$1:$G$49,MATCH($D421,products!$A$1:$A$49,0),MATCH(orders!I$1,products!$A$1:$G$1,0))</f>
        <v>Lib</v>
      </c>
      <c r="J421" t="str">
        <f>INDEX(products!$A$1:$G$49,MATCH($D421,products!$A$1:$A$49,0),MATCH(orders!J$1,products!$A$1:$G$1,0))</f>
        <v>M</v>
      </c>
      <c r="K421" s="4">
        <f>INDEX(products!$A$1:$G$49,MATCH($D421,products!$A$1:$A$49,0),MATCH(orders!K$1,products!$A$1:$G$1,0))</f>
        <v>0.5</v>
      </c>
      <c r="L421" s="5">
        <f>INDEX(products!$A$1:$G$49,MATCH($D421,products!$A$1:$A$49,0),MATCH(orders!L$1,products!$A$1:$G$1,0))</f>
        <v>8.73</v>
      </c>
      <c r="M421" s="5">
        <f t="shared" si="12"/>
        <v>8.73</v>
      </c>
      <c r="N421" t="str">
        <f>IF(I421="Rob","Robusta",IF(I421="Exc","Excelsa",IF(I421="Ara","Arabica",IF(I421="Lib","Liberica",""))))</f>
        <v>Liberica</v>
      </c>
      <c r="O421" t="str">
        <f t="shared" si="13"/>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INDEX(products!$A$1:$G$49,MATCH($D422,products!$A$1:$A$49,0),MATCH(orders!I$1,products!$A$1:$G$1,0))</f>
        <v>Lib</v>
      </c>
      <c r="J422" t="str">
        <f>INDEX(products!$A$1:$G$49,MATCH($D422,products!$A$1:$A$49,0),MATCH(orders!J$1,products!$A$1:$G$1,0))</f>
        <v>D</v>
      </c>
      <c r="K422" s="4">
        <f>INDEX(products!$A$1:$G$49,MATCH($D422,products!$A$1:$A$49,0),MATCH(orders!K$1,products!$A$1:$G$1,0))</f>
        <v>0.5</v>
      </c>
      <c r="L422" s="5">
        <f>INDEX(products!$A$1:$G$49,MATCH($D422,products!$A$1:$A$49,0),MATCH(orders!L$1,products!$A$1:$G$1,0))</f>
        <v>7.77</v>
      </c>
      <c r="M422" s="5">
        <f t="shared" si="12"/>
        <v>31.08</v>
      </c>
      <c r="N422" t="str">
        <f>IF(I422="Rob","Robusta",IF(I422="Exc","Excelsa",IF(I422="Ara","Arabica",IF(I422="Lib","Liberica",""))))</f>
        <v>Liberica</v>
      </c>
      <c r="O422" t="str">
        <f t="shared" si="13"/>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INDEX(products!$A$1:$G$49,MATCH($D423,products!$A$1:$A$49,0),MATCH(orders!I$1,products!$A$1:$G$1,0))</f>
        <v>Ara</v>
      </c>
      <c r="J423" t="str">
        <f>INDEX(products!$A$1:$G$49,MATCH($D423,products!$A$1:$A$49,0),MATCH(orders!J$1,products!$A$1:$G$1,0))</f>
        <v>D</v>
      </c>
      <c r="K423" s="4">
        <f>INDEX(products!$A$1:$G$49,MATCH($D423,products!$A$1:$A$49,0),MATCH(orders!K$1,products!$A$1:$G$1,0))</f>
        <v>2.5</v>
      </c>
      <c r="L423" s="5">
        <f>INDEX(products!$A$1:$G$49,MATCH($D423,products!$A$1:$A$49,0),MATCH(orders!L$1,products!$A$1:$G$1,0))</f>
        <v>22.884999999999998</v>
      </c>
      <c r="M423" s="5">
        <f t="shared" si="12"/>
        <v>137.31</v>
      </c>
      <c r="N423" t="str">
        <f>IF(I423="Rob","Robusta",IF(I423="Exc","Excelsa",IF(I423="Ara","Arabica",IF(I423="Lib","Liberica",""))))</f>
        <v>Arabica</v>
      </c>
      <c r="O423" t="str">
        <f t="shared" si="13"/>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INDEX(products!$A$1:$G$49,MATCH($D424,products!$A$1:$A$49,0),MATCH(orders!I$1,products!$A$1:$G$1,0))</f>
        <v>Ara</v>
      </c>
      <c r="J424" t="str">
        <f>INDEX(products!$A$1:$G$49,MATCH($D424,products!$A$1:$A$49,0),MATCH(orders!J$1,products!$A$1:$G$1,0))</f>
        <v>D</v>
      </c>
      <c r="K424" s="4">
        <f>INDEX(products!$A$1:$G$49,MATCH($D424,products!$A$1:$A$49,0),MATCH(orders!K$1,products!$A$1:$G$1,0))</f>
        <v>0.5</v>
      </c>
      <c r="L424" s="5">
        <f>INDEX(products!$A$1:$G$49,MATCH($D424,products!$A$1:$A$49,0),MATCH(orders!L$1,products!$A$1:$G$1,0))</f>
        <v>5.97</v>
      </c>
      <c r="M424" s="5">
        <f t="shared" si="12"/>
        <v>29.849999999999998</v>
      </c>
      <c r="N424" t="str">
        <f>IF(I424="Rob","Robusta",IF(I424="Exc","Excelsa",IF(I424="Ara","Arabica",IF(I424="Lib","Liberica",""))))</f>
        <v>Arabica</v>
      </c>
      <c r="O424" t="str">
        <f t="shared" si="13"/>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INDEX(products!$A$1:$G$49,MATCH($D425,products!$A$1:$A$49,0),MATCH(orders!I$1,products!$A$1:$G$1,0))</f>
        <v>Rob</v>
      </c>
      <c r="J425" t="str">
        <f>INDEX(products!$A$1:$G$49,MATCH($D425,products!$A$1:$A$49,0),MATCH(orders!J$1,products!$A$1:$G$1,0))</f>
        <v>M</v>
      </c>
      <c r="K425" s="4">
        <f>INDEX(products!$A$1:$G$49,MATCH($D425,products!$A$1:$A$49,0),MATCH(orders!K$1,products!$A$1:$G$1,0))</f>
        <v>0.5</v>
      </c>
      <c r="L425" s="5">
        <f>INDEX(products!$A$1:$G$49,MATCH($D425,products!$A$1:$A$49,0),MATCH(orders!L$1,products!$A$1:$G$1,0))</f>
        <v>5.97</v>
      </c>
      <c r="M425" s="5">
        <f t="shared" si="12"/>
        <v>17.91</v>
      </c>
      <c r="N425" t="str">
        <f>IF(I425="Rob","Robusta",IF(I425="Exc","Excelsa",IF(I425="Ara","Arabica",IF(I425="Lib","Liberica",""))))</f>
        <v>Robusta</v>
      </c>
      <c r="O425" t="str">
        <f t="shared" si="13"/>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INDEX(products!$A$1:$G$49,MATCH($D426,products!$A$1:$A$49,0),MATCH(orders!I$1,products!$A$1:$G$1,0))</f>
        <v>Exc</v>
      </c>
      <c r="J426" t="str">
        <f>INDEX(products!$A$1:$G$49,MATCH($D426,products!$A$1:$A$49,0),MATCH(orders!J$1,products!$A$1:$G$1,0))</f>
        <v>L</v>
      </c>
      <c r="K426" s="4">
        <f>INDEX(products!$A$1:$G$49,MATCH($D426,products!$A$1:$A$49,0),MATCH(orders!K$1,products!$A$1:$G$1,0))</f>
        <v>0.5</v>
      </c>
      <c r="L426" s="5">
        <f>INDEX(products!$A$1:$G$49,MATCH($D426,products!$A$1:$A$49,0),MATCH(orders!L$1,products!$A$1:$G$1,0))</f>
        <v>8.91</v>
      </c>
      <c r="M426" s="5">
        <f t="shared" si="12"/>
        <v>26.73</v>
      </c>
      <c r="N426" t="str">
        <f>IF(I426="Rob","Robusta",IF(I426="Exc","Excelsa",IF(I426="Ara","Arabica",IF(I426="Lib","Liberica",""))))</f>
        <v>Excelsa</v>
      </c>
      <c r="O426" t="str">
        <f t="shared" si="13"/>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INDEX(products!$A$1:$G$49,MATCH($D427,products!$A$1:$A$49,0),MATCH(orders!I$1,products!$A$1:$G$1,0))</f>
        <v>Rob</v>
      </c>
      <c r="J427" t="str">
        <f>INDEX(products!$A$1:$G$49,MATCH($D427,products!$A$1:$A$49,0),MATCH(orders!J$1,products!$A$1:$G$1,0))</f>
        <v>D</v>
      </c>
      <c r="K427" s="4">
        <f>INDEX(products!$A$1:$G$49,MATCH($D427,products!$A$1:$A$49,0),MATCH(orders!K$1,products!$A$1:$G$1,0))</f>
        <v>1</v>
      </c>
      <c r="L427" s="5">
        <f>INDEX(products!$A$1:$G$49,MATCH($D427,products!$A$1:$A$49,0),MATCH(orders!L$1,products!$A$1:$G$1,0))</f>
        <v>8.9499999999999993</v>
      </c>
      <c r="M427" s="5">
        <f t="shared" si="12"/>
        <v>17.899999999999999</v>
      </c>
      <c r="N427" t="str">
        <f>IF(I427="Rob","Robusta",IF(I427="Exc","Excelsa",IF(I427="Ara","Arabica",IF(I427="Lib","Liberica",""))))</f>
        <v>Robusta</v>
      </c>
      <c r="O427" t="str">
        <f t="shared" si="13"/>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INDEX(products!$A$1:$G$49,MATCH($D428,products!$A$1:$A$49,0),MATCH(orders!I$1,products!$A$1:$G$1,0))</f>
        <v>Rob</v>
      </c>
      <c r="J428" t="str">
        <f>INDEX(products!$A$1:$G$49,MATCH($D428,products!$A$1:$A$49,0),MATCH(orders!J$1,products!$A$1:$G$1,0))</f>
        <v>L</v>
      </c>
      <c r="K428" s="4">
        <f>INDEX(products!$A$1:$G$49,MATCH($D428,products!$A$1:$A$49,0),MATCH(orders!K$1,products!$A$1:$G$1,0))</f>
        <v>0.2</v>
      </c>
      <c r="L428" s="5">
        <f>INDEX(products!$A$1:$G$49,MATCH($D428,products!$A$1:$A$49,0),MATCH(orders!L$1,products!$A$1:$G$1,0))</f>
        <v>3.5849999999999995</v>
      </c>
      <c r="M428" s="5">
        <f t="shared" si="12"/>
        <v>14.339999999999998</v>
      </c>
      <c r="N428" t="str">
        <f>IF(I428="Rob","Robusta",IF(I428="Exc","Excelsa",IF(I428="Ara","Arabica",IF(I428="Lib","Liberica",""))))</f>
        <v>Robusta</v>
      </c>
      <c r="O428" t="str">
        <f t="shared" si="13"/>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INDEX(products!$A$1:$G$49,MATCH($D429,products!$A$1:$A$49,0),MATCH(orders!I$1,products!$A$1:$G$1,0))</f>
        <v>Ara</v>
      </c>
      <c r="J429" t="str">
        <f>INDEX(products!$A$1:$G$49,MATCH($D429,products!$A$1:$A$49,0),MATCH(orders!J$1,products!$A$1:$G$1,0))</f>
        <v>M</v>
      </c>
      <c r="K429" s="4">
        <f>INDEX(products!$A$1:$G$49,MATCH($D429,products!$A$1:$A$49,0),MATCH(orders!K$1,products!$A$1:$G$1,0))</f>
        <v>2.5</v>
      </c>
      <c r="L429" s="5">
        <f>INDEX(products!$A$1:$G$49,MATCH($D429,products!$A$1:$A$49,0),MATCH(orders!L$1,products!$A$1:$G$1,0))</f>
        <v>25.874999999999996</v>
      </c>
      <c r="M429" s="5">
        <f t="shared" si="12"/>
        <v>77.624999999999986</v>
      </c>
      <c r="N429" t="str">
        <f>IF(I429="Rob","Robusta",IF(I429="Exc","Excelsa",IF(I429="Ara","Arabica",IF(I429="Lib","Liberica",""))))</f>
        <v>Arabica</v>
      </c>
      <c r="O429" t="str">
        <f t="shared" si="13"/>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INDEX(products!$A$1:$G$49,MATCH($D430,products!$A$1:$A$49,0),MATCH(orders!I$1,products!$A$1:$G$1,0))</f>
        <v>Rob</v>
      </c>
      <c r="J430" t="str">
        <f>INDEX(products!$A$1:$G$49,MATCH($D430,products!$A$1:$A$49,0),MATCH(orders!J$1,products!$A$1:$G$1,0))</f>
        <v>L</v>
      </c>
      <c r="K430" s="4">
        <f>INDEX(products!$A$1:$G$49,MATCH($D430,products!$A$1:$A$49,0),MATCH(orders!K$1,products!$A$1:$G$1,0))</f>
        <v>1</v>
      </c>
      <c r="L430" s="5">
        <f>INDEX(products!$A$1:$G$49,MATCH($D430,products!$A$1:$A$49,0),MATCH(orders!L$1,products!$A$1:$G$1,0))</f>
        <v>11.95</v>
      </c>
      <c r="M430" s="5">
        <f t="shared" si="12"/>
        <v>59.75</v>
      </c>
      <c r="N430" t="str">
        <f>IF(I430="Rob","Robusta",IF(I430="Exc","Excelsa",IF(I430="Ara","Arabica",IF(I430="Lib","Liberica",""))))</f>
        <v>Robusta</v>
      </c>
      <c r="O430" t="str">
        <f t="shared" si="13"/>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INDEX(products!$A$1:$G$49,MATCH($D431,products!$A$1:$A$49,0),MATCH(orders!I$1,products!$A$1:$G$1,0))</f>
        <v>Ara</v>
      </c>
      <c r="J431" t="str">
        <f>INDEX(products!$A$1:$G$49,MATCH($D431,products!$A$1:$A$49,0),MATCH(orders!J$1,products!$A$1:$G$1,0))</f>
        <v>L</v>
      </c>
      <c r="K431" s="4">
        <f>INDEX(products!$A$1:$G$49,MATCH($D431,products!$A$1:$A$49,0),MATCH(orders!K$1,products!$A$1:$G$1,0))</f>
        <v>1</v>
      </c>
      <c r="L431" s="5">
        <f>INDEX(products!$A$1:$G$49,MATCH($D431,products!$A$1:$A$49,0),MATCH(orders!L$1,products!$A$1:$G$1,0))</f>
        <v>12.95</v>
      </c>
      <c r="M431" s="5">
        <f t="shared" si="12"/>
        <v>77.699999999999989</v>
      </c>
      <c r="N431" t="str">
        <f>IF(I431="Rob","Robusta",IF(I431="Exc","Excelsa",IF(I431="Ara","Arabica",IF(I431="Lib","Liberica",""))))</f>
        <v>Arabica</v>
      </c>
      <c r="O431" t="str">
        <f t="shared" si="13"/>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INDEX(products!$A$1:$G$49,MATCH($D432,products!$A$1:$A$49,0),MATCH(orders!I$1,products!$A$1:$G$1,0))</f>
        <v>Rob</v>
      </c>
      <c r="J432" t="str">
        <f>INDEX(products!$A$1:$G$49,MATCH($D432,products!$A$1:$A$49,0),MATCH(orders!J$1,products!$A$1:$G$1,0))</f>
        <v>D</v>
      </c>
      <c r="K432" s="4">
        <f>INDEX(products!$A$1:$G$49,MATCH($D432,products!$A$1:$A$49,0),MATCH(orders!K$1,products!$A$1:$G$1,0))</f>
        <v>0.2</v>
      </c>
      <c r="L432" s="5">
        <f>INDEX(products!$A$1:$G$49,MATCH($D432,products!$A$1:$A$49,0),MATCH(orders!L$1,products!$A$1:$G$1,0))</f>
        <v>2.6849999999999996</v>
      </c>
      <c r="M432" s="5">
        <f t="shared" si="12"/>
        <v>5.3699999999999992</v>
      </c>
      <c r="N432" t="str">
        <f>IF(I432="Rob","Robusta",IF(I432="Exc","Excelsa",IF(I432="Ara","Arabica",IF(I432="Lib","Liberica",""))))</f>
        <v>Robusta</v>
      </c>
      <c r="O432" t="str">
        <f t="shared" si="13"/>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INDEX(products!$A$1:$G$49,MATCH($D433,products!$A$1:$A$49,0),MATCH(orders!I$1,products!$A$1:$G$1,0))</f>
        <v>Exc</v>
      </c>
      <c r="J433" t="str">
        <f>INDEX(products!$A$1:$G$49,MATCH($D433,products!$A$1:$A$49,0),MATCH(orders!J$1,products!$A$1:$G$1,0))</f>
        <v>D</v>
      </c>
      <c r="K433" s="4">
        <f>INDEX(products!$A$1:$G$49,MATCH($D433,products!$A$1:$A$49,0),MATCH(orders!K$1,products!$A$1:$G$1,0))</f>
        <v>2.5</v>
      </c>
      <c r="L433" s="5">
        <f>INDEX(products!$A$1:$G$49,MATCH($D433,products!$A$1:$A$49,0),MATCH(orders!L$1,products!$A$1:$G$1,0))</f>
        <v>27.945</v>
      </c>
      <c r="M433" s="5">
        <f t="shared" si="12"/>
        <v>83.835000000000008</v>
      </c>
      <c r="N433" t="str">
        <f>IF(I433="Rob","Robusta",IF(I433="Exc","Excelsa",IF(I433="Ara","Arabica",IF(I433="Lib","Liberica",""))))</f>
        <v>Excelsa</v>
      </c>
      <c r="O433" t="str">
        <f t="shared" si="13"/>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INDEX(products!$A$1:$G$49,MATCH($D434,products!$A$1:$A$49,0),MATCH(orders!I$1,products!$A$1:$G$1,0))</f>
        <v>Ara</v>
      </c>
      <c r="J434" t="str">
        <f>INDEX(products!$A$1:$G$49,MATCH($D434,products!$A$1:$A$49,0),MATCH(orders!J$1,products!$A$1:$G$1,0))</f>
        <v>M</v>
      </c>
      <c r="K434" s="4">
        <f>INDEX(products!$A$1:$G$49,MATCH($D434,products!$A$1:$A$49,0),MATCH(orders!K$1,products!$A$1:$G$1,0))</f>
        <v>1</v>
      </c>
      <c r="L434" s="5">
        <f>INDEX(products!$A$1:$G$49,MATCH($D434,products!$A$1:$A$49,0),MATCH(orders!L$1,products!$A$1:$G$1,0))</f>
        <v>11.25</v>
      </c>
      <c r="M434" s="5">
        <f t="shared" si="12"/>
        <v>22.5</v>
      </c>
      <c r="N434" t="str">
        <f>IF(I434="Rob","Robusta",IF(I434="Exc","Excelsa",IF(I434="Ara","Arabica",IF(I434="Lib","Liberica",""))))</f>
        <v>Arabica</v>
      </c>
      <c r="O434" t="str">
        <f t="shared" si="13"/>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INDEX(products!$A$1:$G$49,MATCH($D435,products!$A$1:$A$49,0),MATCH(orders!I$1,products!$A$1:$G$1,0))</f>
        <v>Lib</v>
      </c>
      <c r="J435" t="str">
        <f>INDEX(products!$A$1:$G$49,MATCH($D435,products!$A$1:$A$49,0),MATCH(orders!J$1,products!$A$1:$G$1,0))</f>
        <v>M</v>
      </c>
      <c r="K435" s="4">
        <f>INDEX(products!$A$1:$G$49,MATCH($D435,products!$A$1:$A$49,0),MATCH(orders!K$1,products!$A$1:$G$1,0))</f>
        <v>2.5</v>
      </c>
      <c r="L435" s="5">
        <f>INDEX(products!$A$1:$G$49,MATCH($D435,products!$A$1:$A$49,0),MATCH(orders!L$1,products!$A$1:$G$1,0))</f>
        <v>33.464999999999996</v>
      </c>
      <c r="M435" s="5">
        <f t="shared" si="12"/>
        <v>200.78999999999996</v>
      </c>
      <c r="N435" t="str">
        <f>IF(I435="Rob","Robusta",IF(I435="Exc","Excelsa",IF(I435="Ara","Arabica",IF(I435="Lib","Liberica",""))))</f>
        <v>Liberica</v>
      </c>
      <c r="O435" t="str">
        <f t="shared" si="13"/>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INDEX(products!$A$1:$G$49,MATCH($D436,products!$A$1:$A$49,0),MATCH(orders!I$1,products!$A$1:$G$1,0))</f>
        <v>Ara</v>
      </c>
      <c r="J436" t="str">
        <f>INDEX(products!$A$1:$G$49,MATCH($D436,products!$A$1:$A$49,0),MATCH(orders!J$1,products!$A$1:$G$1,0))</f>
        <v>M</v>
      </c>
      <c r="K436" s="4">
        <f>INDEX(products!$A$1:$G$49,MATCH($D436,products!$A$1:$A$49,0),MATCH(orders!K$1,products!$A$1:$G$1,0))</f>
        <v>1</v>
      </c>
      <c r="L436" s="5">
        <f>INDEX(products!$A$1:$G$49,MATCH($D436,products!$A$1:$A$49,0),MATCH(orders!L$1,products!$A$1:$G$1,0))</f>
        <v>11.25</v>
      </c>
      <c r="M436" s="5">
        <f t="shared" si="12"/>
        <v>67.5</v>
      </c>
      <c r="N436" t="str">
        <f>IF(I436="Rob","Robusta",IF(I436="Exc","Excelsa",IF(I436="Ara","Arabica",IF(I436="Lib","Liberica",""))))</f>
        <v>Arabica</v>
      </c>
      <c r="O436" t="str">
        <f t="shared" si="13"/>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INDEX(products!$A$1:$G$49,MATCH($D437,products!$A$1:$A$49,0),MATCH(orders!I$1,products!$A$1:$G$1,0))</f>
        <v>Exc</v>
      </c>
      <c r="J437" t="str">
        <f>INDEX(products!$A$1:$G$49,MATCH($D437,products!$A$1:$A$49,0),MATCH(orders!J$1,products!$A$1:$G$1,0))</f>
        <v>M</v>
      </c>
      <c r="K437" s="4">
        <f>INDEX(products!$A$1:$G$49,MATCH($D437,products!$A$1:$A$49,0),MATCH(orders!K$1,products!$A$1:$G$1,0))</f>
        <v>0.5</v>
      </c>
      <c r="L437" s="5">
        <f>INDEX(products!$A$1:$G$49,MATCH($D437,products!$A$1:$A$49,0),MATCH(orders!L$1,products!$A$1:$G$1,0))</f>
        <v>8.25</v>
      </c>
      <c r="M437" s="5">
        <f t="shared" si="12"/>
        <v>8.25</v>
      </c>
      <c r="N437" t="str">
        <f>IF(I437="Rob","Robusta",IF(I437="Exc","Excelsa",IF(I437="Ara","Arabica",IF(I437="Lib","Liberica",""))))</f>
        <v>Excelsa</v>
      </c>
      <c r="O437" t="str">
        <f t="shared" si="13"/>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INDEX(products!$A$1:$G$49,MATCH($D438,products!$A$1:$A$49,0),MATCH(orders!I$1,products!$A$1:$G$1,0))</f>
        <v>Lib</v>
      </c>
      <c r="J438" t="str">
        <f>INDEX(products!$A$1:$G$49,MATCH($D438,products!$A$1:$A$49,0),MATCH(orders!J$1,products!$A$1:$G$1,0))</f>
        <v>L</v>
      </c>
      <c r="K438" s="4">
        <f>INDEX(products!$A$1:$G$49,MATCH($D438,products!$A$1:$A$49,0),MATCH(orders!K$1,products!$A$1:$G$1,0))</f>
        <v>0.2</v>
      </c>
      <c r="L438" s="5">
        <f>INDEX(products!$A$1:$G$49,MATCH($D438,products!$A$1:$A$49,0),MATCH(orders!L$1,products!$A$1:$G$1,0))</f>
        <v>4.7549999999999999</v>
      </c>
      <c r="M438" s="5">
        <f t="shared" si="12"/>
        <v>9.51</v>
      </c>
      <c r="N438" t="str">
        <f>IF(I438="Rob","Robusta",IF(I438="Exc","Excelsa",IF(I438="Ara","Arabica",IF(I438="Lib","Liberica",""))))</f>
        <v>Liberica</v>
      </c>
      <c r="O438" t="str">
        <f t="shared" si="13"/>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INDEX(products!$A$1:$G$49,MATCH($D439,products!$A$1:$A$49,0),MATCH(orders!I$1,products!$A$1:$G$1,0))</f>
        <v>Lib</v>
      </c>
      <c r="J439" t="str">
        <f>INDEX(products!$A$1:$G$49,MATCH($D439,products!$A$1:$A$49,0),MATCH(orders!J$1,products!$A$1:$G$1,0))</f>
        <v>D</v>
      </c>
      <c r="K439" s="4">
        <f>INDEX(products!$A$1:$G$49,MATCH($D439,products!$A$1:$A$49,0),MATCH(orders!K$1,products!$A$1:$G$1,0))</f>
        <v>2.5</v>
      </c>
      <c r="L439" s="5">
        <f>INDEX(products!$A$1:$G$49,MATCH($D439,products!$A$1:$A$49,0),MATCH(orders!L$1,products!$A$1:$G$1,0))</f>
        <v>29.784999999999997</v>
      </c>
      <c r="M439" s="5">
        <f t="shared" si="12"/>
        <v>29.784999999999997</v>
      </c>
      <c r="N439" t="str">
        <f>IF(I439="Rob","Robusta",IF(I439="Exc","Excelsa",IF(I439="Ara","Arabica",IF(I439="Lib","Liberica",""))))</f>
        <v>Liberica</v>
      </c>
      <c r="O439" t="str">
        <f t="shared" si="13"/>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INDEX(products!$A$1:$G$49,MATCH($D440,products!$A$1:$A$49,0),MATCH(orders!I$1,products!$A$1:$G$1,0))</f>
        <v>Lib</v>
      </c>
      <c r="J440" t="str">
        <f>INDEX(products!$A$1:$G$49,MATCH($D440,products!$A$1:$A$49,0),MATCH(orders!J$1,products!$A$1:$G$1,0))</f>
        <v>D</v>
      </c>
      <c r="K440" s="4">
        <f>INDEX(products!$A$1:$G$49,MATCH($D440,products!$A$1:$A$49,0),MATCH(orders!K$1,products!$A$1:$G$1,0))</f>
        <v>0.5</v>
      </c>
      <c r="L440" s="5">
        <f>INDEX(products!$A$1:$G$49,MATCH($D440,products!$A$1:$A$49,0),MATCH(orders!L$1,products!$A$1:$G$1,0))</f>
        <v>7.77</v>
      </c>
      <c r="M440" s="5">
        <f t="shared" si="12"/>
        <v>15.54</v>
      </c>
      <c r="N440" t="str">
        <f>IF(I440="Rob","Robusta",IF(I440="Exc","Excelsa",IF(I440="Ara","Arabica",IF(I440="Lib","Liberica",""))))</f>
        <v>Liberica</v>
      </c>
      <c r="O440" t="str">
        <f t="shared" si="13"/>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INDEX(products!$A$1:$G$49,MATCH($D441,products!$A$1:$A$49,0),MATCH(orders!I$1,products!$A$1:$G$1,0))</f>
        <v>Exc</v>
      </c>
      <c r="J441" t="str">
        <f>INDEX(products!$A$1:$G$49,MATCH($D441,products!$A$1:$A$49,0),MATCH(orders!J$1,products!$A$1:$G$1,0))</f>
        <v>L</v>
      </c>
      <c r="K441" s="4">
        <f>INDEX(products!$A$1:$G$49,MATCH($D441,products!$A$1:$A$49,0),MATCH(orders!K$1,products!$A$1:$G$1,0))</f>
        <v>0.5</v>
      </c>
      <c r="L441" s="5">
        <f>INDEX(products!$A$1:$G$49,MATCH($D441,products!$A$1:$A$49,0),MATCH(orders!L$1,products!$A$1:$G$1,0))</f>
        <v>8.91</v>
      </c>
      <c r="M441" s="5">
        <f t="shared" si="12"/>
        <v>35.64</v>
      </c>
      <c r="N441" t="str">
        <f>IF(I441="Rob","Robusta",IF(I441="Exc","Excelsa",IF(I441="Ara","Arabica",IF(I441="Lib","Liberica",""))))</f>
        <v>Excelsa</v>
      </c>
      <c r="O441" t="str">
        <f t="shared" si="13"/>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INDEX(products!$A$1:$G$49,MATCH($D442,products!$A$1:$A$49,0),MATCH(orders!I$1,products!$A$1:$G$1,0))</f>
        <v>Ara</v>
      </c>
      <c r="J442" t="str">
        <f>INDEX(products!$A$1:$G$49,MATCH($D442,products!$A$1:$A$49,0),MATCH(orders!J$1,products!$A$1:$G$1,0))</f>
        <v>M</v>
      </c>
      <c r="K442" s="4">
        <f>INDEX(products!$A$1:$G$49,MATCH($D442,products!$A$1:$A$49,0),MATCH(orders!K$1,products!$A$1:$G$1,0))</f>
        <v>2.5</v>
      </c>
      <c r="L442" s="5">
        <f>INDEX(products!$A$1:$G$49,MATCH($D442,products!$A$1:$A$49,0),MATCH(orders!L$1,products!$A$1:$G$1,0))</f>
        <v>25.874999999999996</v>
      </c>
      <c r="M442" s="5">
        <f t="shared" si="12"/>
        <v>103.49999999999999</v>
      </c>
      <c r="N442" t="str">
        <f>IF(I442="Rob","Robusta",IF(I442="Exc","Excelsa",IF(I442="Ara","Arabica",IF(I442="Lib","Liberica",""))))</f>
        <v>Arabica</v>
      </c>
      <c r="O442" t="str">
        <f t="shared" si="13"/>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INDEX(products!$A$1:$G$49,MATCH($D443,products!$A$1:$A$49,0),MATCH(orders!I$1,products!$A$1:$G$1,0))</f>
        <v>Exc</v>
      </c>
      <c r="J443" t="str">
        <f>INDEX(products!$A$1:$G$49,MATCH($D443,products!$A$1:$A$49,0),MATCH(orders!J$1,products!$A$1:$G$1,0))</f>
        <v>D</v>
      </c>
      <c r="K443" s="4">
        <f>INDEX(products!$A$1:$G$49,MATCH($D443,products!$A$1:$A$49,0),MATCH(orders!K$1,products!$A$1:$G$1,0))</f>
        <v>1</v>
      </c>
      <c r="L443" s="5">
        <f>INDEX(products!$A$1:$G$49,MATCH($D443,products!$A$1:$A$49,0),MATCH(orders!L$1,products!$A$1:$G$1,0))</f>
        <v>12.15</v>
      </c>
      <c r="M443" s="5">
        <f t="shared" si="12"/>
        <v>36.450000000000003</v>
      </c>
      <c r="N443" t="str">
        <f>IF(I443="Rob","Robusta",IF(I443="Exc","Excelsa",IF(I443="Ara","Arabica",IF(I443="Lib","Liberica",""))))</f>
        <v>Excelsa</v>
      </c>
      <c r="O443" t="str">
        <f t="shared" si="13"/>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INDEX(products!$A$1:$G$49,MATCH($D444,products!$A$1:$A$49,0),MATCH(orders!I$1,products!$A$1:$G$1,0))</f>
        <v>Rob</v>
      </c>
      <c r="J444" t="str">
        <f>INDEX(products!$A$1:$G$49,MATCH($D444,products!$A$1:$A$49,0),MATCH(orders!J$1,products!$A$1:$G$1,0))</f>
        <v>L</v>
      </c>
      <c r="K444" s="4">
        <f>INDEX(products!$A$1:$G$49,MATCH($D444,products!$A$1:$A$49,0),MATCH(orders!K$1,products!$A$1:$G$1,0))</f>
        <v>0.5</v>
      </c>
      <c r="L444" s="5">
        <f>INDEX(products!$A$1:$G$49,MATCH($D444,products!$A$1:$A$49,0),MATCH(orders!L$1,products!$A$1:$G$1,0))</f>
        <v>7.169999999999999</v>
      </c>
      <c r="M444" s="5">
        <f t="shared" si="12"/>
        <v>35.849999999999994</v>
      </c>
      <c r="N444" t="str">
        <f>IF(I444="Rob","Robusta",IF(I444="Exc","Excelsa",IF(I444="Ara","Arabica",IF(I444="Lib","Liberica",""))))</f>
        <v>Robusta</v>
      </c>
      <c r="O444" t="str">
        <f t="shared" si="13"/>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INDEX(products!$A$1:$G$49,MATCH($D445,products!$A$1:$A$49,0),MATCH(orders!I$1,products!$A$1:$G$1,0))</f>
        <v>Exc</v>
      </c>
      <c r="J445" t="str">
        <f>INDEX(products!$A$1:$G$49,MATCH($D445,products!$A$1:$A$49,0),MATCH(orders!J$1,products!$A$1:$G$1,0))</f>
        <v>L</v>
      </c>
      <c r="K445" s="4">
        <f>INDEX(products!$A$1:$G$49,MATCH($D445,products!$A$1:$A$49,0),MATCH(orders!K$1,products!$A$1:$G$1,0))</f>
        <v>0.2</v>
      </c>
      <c r="L445" s="5">
        <f>INDEX(products!$A$1:$G$49,MATCH($D445,products!$A$1:$A$49,0),MATCH(orders!L$1,products!$A$1:$G$1,0))</f>
        <v>4.4550000000000001</v>
      </c>
      <c r="M445" s="5">
        <f t="shared" si="12"/>
        <v>22.274999999999999</v>
      </c>
      <c r="N445" t="str">
        <f>IF(I445="Rob","Robusta",IF(I445="Exc","Excelsa",IF(I445="Ara","Arabica",IF(I445="Lib","Liberica",""))))</f>
        <v>Excelsa</v>
      </c>
      <c r="O445" t="str">
        <f t="shared" si="13"/>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INDEX(products!$A$1:$G$49,MATCH($D446,products!$A$1:$A$49,0),MATCH(orders!I$1,products!$A$1:$G$1,0))</f>
        <v>Exc</v>
      </c>
      <c r="J446" t="str">
        <f>INDEX(products!$A$1:$G$49,MATCH($D446,products!$A$1:$A$49,0),MATCH(orders!J$1,products!$A$1:$G$1,0))</f>
        <v>M</v>
      </c>
      <c r="K446" s="4">
        <f>INDEX(products!$A$1:$G$49,MATCH($D446,products!$A$1:$A$49,0),MATCH(orders!K$1,products!$A$1:$G$1,0))</f>
        <v>0.2</v>
      </c>
      <c r="L446" s="5">
        <f>INDEX(products!$A$1:$G$49,MATCH($D446,products!$A$1:$A$49,0),MATCH(orders!L$1,products!$A$1:$G$1,0))</f>
        <v>4.125</v>
      </c>
      <c r="M446" s="5">
        <f t="shared" si="12"/>
        <v>24.75</v>
      </c>
      <c r="N446" t="str">
        <f>IF(I446="Rob","Robusta",IF(I446="Exc","Excelsa",IF(I446="Ara","Arabica",IF(I446="Lib","Liberica",""))))</f>
        <v>Excelsa</v>
      </c>
      <c r="O446" t="str">
        <f t="shared" si="13"/>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INDEX(products!$A$1:$G$49,MATCH($D447,products!$A$1:$A$49,0),MATCH(orders!I$1,products!$A$1:$G$1,0))</f>
        <v>Lib</v>
      </c>
      <c r="J447" t="str">
        <f>INDEX(products!$A$1:$G$49,MATCH($D447,products!$A$1:$A$49,0),MATCH(orders!J$1,products!$A$1:$G$1,0))</f>
        <v>M</v>
      </c>
      <c r="K447" s="4">
        <f>INDEX(products!$A$1:$G$49,MATCH($D447,products!$A$1:$A$49,0),MATCH(orders!K$1,products!$A$1:$G$1,0))</f>
        <v>2.5</v>
      </c>
      <c r="L447" s="5">
        <f>INDEX(products!$A$1:$G$49,MATCH($D447,products!$A$1:$A$49,0),MATCH(orders!L$1,products!$A$1:$G$1,0))</f>
        <v>33.464999999999996</v>
      </c>
      <c r="M447" s="5">
        <f t="shared" si="12"/>
        <v>66.929999999999993</v>
      </c>
      <c r="N447" t="str">
        <f>IF(I447="Rob","Robusta",IF(I447="Exc","Excelsa",IF(I447="Ara","Arabica",IF(I447="Lib","Liberica",""))))</f>
        <v>Liberica</v>
      </c>
      <c r="O447" t="str">
        <f t="shared" si="13"/>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INDEX(products!$A$1:$G$49,MATCH($D448,products!$A$1:$A$49,0),MATCH(orders!I$1,products!$A$1:$G$1,0))</f>
        <v>Lib</v>
      </c>
      <c r="J448" t="str">
        <f>INDEX(products!$A$1:$G$49,MATCH($D448,products!$A$1:$A$49,0),MATCH(orders!J$1,products!$A$1:$G$1,0))</f>
        <v>M</v>
      </c>
      <c r="K448" s="4">
        <f>INDEX(products!$A$1:$G$49,MATCH($D448,products!$A$1:$A$49,0),MATCH(orders!K$1,products!$A$1:$G$1,0))</f>
        <v>0.5</v>
      </c>
      <c r="L448" s="5">
        <f>INDEX(products!$A$1:$G$49,MATCH($D448,products!$A$1:$A$49,0),MATCH(orders!L$1,products!$A$1:$G$1,0))</f>
        <v>8.73</v>
      </c>
      <c r="M448" s="5">
        <f t="shared" si="12"/>
        <v>8.73</v>
      </c>
      <c r="N448" t="str">
        <f>IF(I448="Rob","Robusta",IF(I448="Exc","Excelsa",IF(I448="Ara","Arabica",IF(I448="Lib","Liberica",""))))</f>
        <v>Liberica</v>
      </c>
      <c r="O448" t="str">
        <f t="shared" si="13"/>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INDEX(products!$A$1:$G$49,MATCH($D449,products!$A$1:$A$49,0),MATCH(orders!I$1,products!$A$1:$G$1,0))</f>
        <v>Rob</v>
      </c>
      <c r="J449" t="str">
        <f>INDEX(products!$A$1:$G$49,MATCH($D449,products!$A$1:$A$49,0),MATCH(orders!J$1,products!$A$1:$G$1,0))</f>
        <v>M</v>
      </c>
      <c r="K449" s="4">
        <f>INDEX(products!$A$1:$G$49,MATCH($D449,products!$A$1:$A$49,0),MATCH(orders!K$1,products!$A$1:$G$1,0))</f>
        <v>0.5</v>
      </c>
      <c r="L449" s="5">
        <f>INDEX(products!$A$1:$G$49,MATCH($D449,products!$A$1:$A$49,0),MATCH(orders!L$1,products!$A$1:$G$1,0))</f>
        <v>5.97</v>
      </c>
      <c r="M449" s="5">
        <f t="shared" si="12"/>
        <v>17.91</v>
      </c>
      <c r="N449" t="str">
        <f>IF(I449="Rob","Robusta",IF(I449="Exc","Excelsa",IF(I449="Ara","Arabica",IF(I449="Lib","Liberica",""))))</f>
        <v>Robusta</v>
      </c>
      <c r="O449" t="str">
        <f t="shared" si="13"/>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INDEX(products!$A$1:$G$49,MATCH($D450,products!$A$1:$A$49,0),MATCH(orders!I$1,products!$A$1:$G$1,0))</f>
        <v>Rob</v>
      </c>
      <c r="J450" t="str">
        <f>INDEX(products!$A$1:$G$49,MATCH($D450,products!$A$1:$A$49,0),MATCH(orders!J$1,products!$A$1:$G$1,0))</f>
        <v>L</v>
      </c>
      <c r="K450" s="4">
        <f>INDEX(products!$A$1:$G$49,MATCH($D450,products!$A$1:$A$49,0),MATCH(orders!K$1,products!$A$1:$G$1,0))</f>
        <v>0.5</v>
      </c>
      <c r="L450" s="5">
        <f>INDEX(products!$A$1:$G$49,MATCH($D450,products!$A$1:$A$49,0),MATCH(orders!L$1,products!$A$1:$G$1,0))</f>
        <v>7.169999999999999</v>
      </c>
      <c r="M450" s="5">
        <f t="shared" si="12"/>
        <v>7.169999999999999</v>
      </c>
      <c r="N450" t="str">
        <f>IF(I450="Rob","Robusta",IF(I450="Exc","Excelsa",IF(I450="Ara","Arabica",IF(I450="Lib","Liberica",""))))</f>
        <v>Robusta</v>
      </c>
      <c r="O450" t="str">
        <f t="shared" si="13"/>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INDEX(products!$A$1:$G$49,MATCH($D451,products!$A$1:$A$49,0),MATCH(orders!I$1,products!$A$1:$G$1,0))</f>
        <v>Rob</v>
      </c>
      <c r="J451" t="str">
        <f>INDEX(products!$A$1:$G$49,MATCH($D451,products!$A$1:$A$49,0),MATCH(orders!J$1,products!$A$1:$G$1,0))</f>
        <v>D</v>
      </c>
      <c r="K451" s="4">
        <f>INDEX(products!$A$1:$G$49,MATCH($D451,products!$A$1:$A$49,0),MATCH(orders!K$1,products!$A$1:$G$1,0))</f>
        <v>0.2</v>
      </c>
      <c r="L451" s="5">
        <f>INDEX(products!$A$1:$G$49,MATCH($D451,products!$A$1:$A$49,0),MATCH(orders!L$1,products!$A$1:$G$1,0))</f>
        <v>2.6849999999999996</v>
      </c>
      <c r="M451" s="5">
        <f t="shared" ref="M451:M514" si="14">L451*E451</f>
        <v>5.3699999999999992</v>
      </c>
      <c r="N451" t="str">
        <f>IF(I451="Rob","Robusta",IF(I451="Exc","Excelsa",IF(I451="Ara","Arabica",IF(I451="Lib","Liberica",""))))</f>
        <v>Robusta</v>
      </c>
      <c r="O451" t="str">
        <f t="shared" ref="O451:O514" si="15">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INDEX(products!$A$1:$G$49,MATCH($D452,products!$A$1:$A$49,0),MATCH(orders!I$1,products!$A$1:$G$1,0))</f>
        <v>Lib</v>
      </c>
      <c r="J452" t="str">
        <f>INDEX(products!$A$1:$G$49,MATCH($D452,products!$A$1:$A$49,0),MATCH(orders!J$1,products!$A$1:$G$1,0))</f>
        <v>L</v>
      </c>
      <c r="K452" s="4">
        <f>INDEX(products!$A$1:$G$49,MATCH($D452,products!$A$1:$A$49,0),MATCH(orders!K$1,products!$A$1:$G$1,0))</f>
        <v>0.2</v>
      </c>
      <c r="L452" s="5">
        <f>INDEX(products!$A$1:$G$49,MATCH($D452,products!$A$1:$A$49,0),MATCH(orders!L$1,products!$A$1:$G$1,0))</f>
        <v>4.7549999999999999</v>
      </c>
      <c r="M452" s="5">
        <f t="shared" si="14"/>
        <v>23.774999999999999</v>
      </c>
      <c r="N452" t="str">
        <f>IF(I452="Rob","Robusta",IF(I452="Exc","Excelsa",IF(I452="Ara","Arabica",IF(I452="Lib","Liberica",""))))</f>
        <v>Liberica</v>
      </c>
      <c r="O452" t="str">
        <f t="shared" si="15"/>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INDEX(products!$A$1:$G$49,MATCH($D453,products!$A$1:$A$49,0),MATCH(orders!I$1,products!$A$1:$G$1,0))</f>
        <v>Rob</v>
      </c>
      <c r="J453" t="str">
        <f>INDEX(products!$A$1:$G$49,MATCH($D453,products!$A$1:$A$49,0),MATCH(orders!J$1,products!$A$1:$G$1,0))</f>
        <v>D</v>
      </c>
      <c r="K453" s="4">
        <f>INDEX(products!$A$1:$G$49,MATCH($D453,products!$A$1:$A$49,0),MATCH(orders!K$1,products!$A$1:$G$1,0))</f>
        <v>2.5</v>
      </c>
      <c r="L453" s="5">
        <f>INDEX(products!$A$1:$G$49,MATCH($D453,products!$A$1:$A$49,0),MATCH(orders!L$1,products!$A$1:$G$1,0))</f>
        <v>20.584999999999997</v>
      </c>
      <c r="M453" s="5">
        <f t="shared" si="14"/>
        <v>41.169999999999995</v>
      </c>
      <c r="N453" t="str">
        <f>IF(I453="Rob","Robusta",IF(I453="Exc","Excelsa",IF(I453="Ara","Arabica",IF(I453="Lib","Liberica",""))))</f>
        <v>Robusta</v>
      </c>
      <c r="O453" t="str">
        <f t="shared" si="15"/>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INDEX(products!$A$1:$G$49,MATCH($D454,products!$A$1:$A$49,0),MATCH(orders!I$1,products!$A$1:$G$1,0))</f>
        <v>Ara</v>
      </c>
      <c r="J454" t="str">
        <f>INDEX(products!$A$1:$G$49,MATCH($D454,products!$A$1:$A$49,0),MATCH(orders!J$1,products!$A$1:$G$1,0))</f>
        <v>L</v>
      </c>
      <c r="K454" s="4">
        <f>INDEX(products!$A$1:$G$49,MATCH($D454,products!$A$1:$A$49,0),MATCH(orders!K$1,products!$A$1:$G$1,0))</f>
        <v>0.2</v>
      </c>
      <c r="L454" s="5">
        <f>INDEX(products!$A$1:$G$49,MATCH($D454,products!$A$1:$A$49,0),MATCH(orders!L$1,products!$A$1:$G$1,0))</f>
        <v>3.8849999999999998</v>
      </c>
      <c r="M454" s="5">
        <f t="shared" si="14"/>
        <v>11.654999999999999</v>
      </c>
      <c r="N454" t="str">
        <f>IF(I454="Rob","Robusta",IF(I454="Exc","Excelsa",IF(I454="Ara","Arabica",IF(I454="Lib","Liberica",""))))</f>
        <v>Arabica</v>
      </c>
      <c r="O454" t="str">
        <f t="shared" si="15"/>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INDEX(products!$A$1:$G$49,MATCH($D455,products!$A$1:$A$49,0),MATCH(orders!I$1,products!$A$1:$G$1,0))</f>
        <v>Lib</v>
      </c>
      <c r="J455" t="str">
        <f>INDEX(products!$A$1:$G$49,MATCH($D455,products!$A$1:$A$49,0),MATCH(orders!J$1,products!$A$1:$G$1,0))</f>
        <v>L</v>
      </c>
      <c r="K455" s="4">
        <f>INDEX(products!$A$1:$G$49,MATCH($D455,products!$A$1:$A$49,0),MATCH(orders!K$1,products!$A$1:$G$1,0))</f>
        <v>0.5</v>
      </c>
      <c r="L455" s="5">
        <f>INDEX(products!$A$1:$G$49,MATCH($D455,products!$A$1:$A$49,0),MATCH(orders!L$1,products!$A$1:$G$1,0))</f>
        <v>9.51</v>
      </c>
      <c r="M455" s="5">
        <f t="shared" si="14"/>
        <v>38.04</v>
      </c>
      <c r="N455" t="str">
        <f>IF(I455="Rob","Robusta",IF(I455="Exc","Excelsa",IF(I455="Ara","Arabica",IF(I455="Lib","Liberica",""))))</f>
        <v>Liberica</v>
      </c>
      <c r="O455" t="str">
        <f t="shared" si="15"/>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INDEX(products!$A$1:$G$49,MATCH($D456,products!$A$1:$A$49,0),MATCH(orders!I$1,products!$A$1:$G$1,0))</f>
        <v>Rob</v>
      </c>
      <c r="J456" t="str">
        <f>INDEX(products!$A$1:$G$49,MATCH($D456,products!$A$1:$A$49,0),MATCH(orders!J$1,products!$A$1:$G$1,0))</f>
        <v>D</v>
      </c>
      <c r="K456" s="4">
        <f>INDEX(products!$A$1:$G$49,MATCH($D456,products!$A$1:$A$49,0),MATCH(orders!K$1,products!$A$1:$G$1,0))</f>
        <v>2.5</v>
      </c>
      <c r="L456" s="5">
        <f>INDEX(products!$A$1:$G$49,MATCH($D456,products!$A$1:$A$49,0),MATCH(orders!L$1,products!$A$1:$G$1,0))</f>
        <v>20.584999999999997</v>
      </c>
      <c r="M456" s="5">
        <f t="shared" si="14"/>
        <v>82.339999999999989</v>
      </c>
      <c r="N456" t="str">
        <f>IF(I456="Rob","Robusta",IF(I456="Exc","Excelsa",IF(I456="Ara","Arabica",IF(I456="Lib","Liberica",""))))</f>
        <v>Robusta</v>
      </c>
      <c r="O456" t="str">
        <f t="shared" si="15"/>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INDEX(products!$A$1:$G$49,MATCH($D457,products!$A$1:$A$49,0),MATCH(orders!I$1,products!$A$1:$G$1,0))</f>
        <v>Lib</v>
      </c>
      <c r="J457" t="str">
        <f>INDEX(products!$A$1:$G$49,MATCH($D457,products!$A$1:$A$49,0),MATCH(orders!J$1,products!$A$1:$G$1,0))</f>
        <v>L</v>
      </c>
      <c r="K457" s="4">
        <f>INDEX(products!$A$1:$G$49,MATCH($D457,products!$A$1:$A$49,0),MATCH(orders!K$1,products!$A$1:$G$1,0))</f>
        <v>0.2</v>
      </c>
      <c r="L457" s="5">
        <f>INDEX(products!$A$1:$G$49,MATCH($D457,products!$A$1:$A$49,0),MATCH(orders!L$1,products!$A$1:$G$1,0))</f>
        <v>4.7549999999999999</v>
      </c>
      <c r="M457" s="5">
        <f t="shared" si="14"/>
        <v>9.51</v>
      </c>
      <c r="N457" t="str">
        <f>IF(I457="Rob","Robusta",IF(I457="Exc","Excelsa",IF(I457="Ara","Arabica",IF(I457="Lib","Liberica",""))))</f>
        <v>Liberica</v>
      </c>
      <c r="O457" t="str">
        <f t="shared" si="15"/>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INDEX(products!$A$1:$G$49,MATCH($D458,products!$A$1:$A$49,0),MATCH(orders!I$1,products!$A$1:$G$1,0))</f>
        <v>Rob</v>
      </c>
      <c r="J458" t="str">
        <f>INDEX(products!$A$1:$G$49,MATCH($D458,products!$A$1:$A$49,0),MATCH(orders!J$1,products!$A$1:$G$1,0))</f>
        <v>D</v>
      </c>
      <c r="K458" s="4">
        <f>INDEX(products!$A$1:$G$49,MATCH($D458,products!$A$1:$A$49,0),MATCH(orders!K$1,products!$A$1:$G$1,0))</f>
        <v>2.5</v>
      </c>
      <c r="L458" s="5">
        <f>INDEX(products!$A$1:$G$49,MATCH($D458,products!$A$1:$A$49,0),MATCH(orders!L$1,products!$A$1:$G$1,0))</f>
        <v>20.584999999999997</v>
      </c>
      <c r="M458" s="5">
        <f t="shared" si="14"/>
        <v>41.169999999999995</v>
      </c>
      <c r="N458" t="str">
        <f>IF(I458="Rob","Robusta",IF(I458="Exc","Excelsa",IF(I458="Ara","Arabica",IF(I458="Lib","Liberica",""))))</f>
        <v>Robusta</v>
      </c>
      <c r="O458" t="str">
        <f t="shared" si="15"/>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INDEX(products!$A$1:$G$49,MATCH($D459,products!$A$1:$A$49,0),MATCH(orders!I$1,products!$A$1:$G$1,0))</f>
        <v>Lib</v>
      </c>
      <c r="J459" t="str">
        <f>INDEX(products!$A$1:$G$49,MATCH($D459,products!$A$1:$A$49,0),MATCH(orders!J$1,products!$A$1:$G$1,0))</f>
        <v>L</v>
      </c>
      <c r="K459" s="4">
        <f>INDEX(products!$A$1:$G$49,MATCH($D459,products!$A$1:$A$49,0),MATCH(orders!K$1,products!$A$1:$G$1,0))</f>
        <v>0.5</v>
      </c>
      <c r="L459" s="5">
        <f>INDEX(products!$A$1:$G$49,MATCH($D459,products!$A$1:$A$49,0),MATCH(orders!L$1,products!$A$1:$G$1,0))</f>
        <v>9.51</v>
      </c>
      <c r="M459" s="5">
        <f t="shared" si="14"/>
        <v>47.55</v>
      </c>
      <c r="N459" t="str">
        <f>IF(I459="Rob","Robusta",IF(I459="Exc","Excelsa",IF(I459="Ara","Arabica",IF(I459="Lib","Liberica",""))))</f>
        <v>Liberica</v>
      </c>
      <c r="O459" t="str">
        <f t="shared" si="15"/>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INDEX(products!$A$1:$G$49,MATCH($D460,products!$A$1:$A$49,0),MATCH(orders!I$1,products!$A$1:$G$1,0))</f>
        <v>Ara</v>
      </c>
      <c r="J460" t="str">
        <f>INDEX(products!$A$1:$G$49,MATCH($D460,products!$A$1:$A$49,0),MATCH(orders!J$1,products!$A$1:$G$1,0))</f>
        <v>M</v>
      </c>
      <c r="K460" s="4">
        <f>INDEX(products!$A$1:$G$49,MATCH($D460,products!$A$1:$A$49,0),MATCH(orders!K$1,products!$A$1:$G$1,0))</f>
        <v>1</v>
      </c>
      <c r="L460" s="5">
        <f>INDEX(products!$A$1:$G$49,MATCH($D460,products!$A$1:$A$49,0),MATCH(orders!L$1,products!$A$1:$G$1,0))</f>
        <v>11.25</v>
      </c>
      <c r="M460" s="5">
        <f t="shared" si="14"/>
        <v>45</v>
      </c>
      <c r="N460" t="str">
        <f>IF(I460="Rob","Robusta",IF(I460="Exc","Excelsa",IF(I460="Ara","Arabica",IF(I460="Lib","Liberica",""))))</f>
        <v>Arabica</v>
      </c>
      <c r="O460" t="str">
        <f t="shared" si="15"/>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INDEX(products!$A$1:$G$49,MATCH($D461,products!$A$1:$A$49,0),MATCH(orders!I$1,products!$A$1:$G$1,0))</f>
        <v>Lib</v>
      </c>
      <c r="J461" t="str">
        <f>INDEX(products!$A$1:$G$49,MATCH($D461,products!$A$1:$A$49,0),MATCH(orders!J$1,products!$A$1:$G$1,0))</f>
        <v>L</v>
      </c>
      <c r="K461" s="4">
        <f>INDEX(products!$A$1:$G$49,MATCH($D461,products!$A$1:$A$49,0),MATCH(orders!K$1,products!$A$1:$G$1,0))</f>
        <v>0.2</v>
      </c>
      <c r="L461" s="5">
        <f>INDEX(products!$A$1:$G$49,MATCH($D461,products!$A$1:$A$49,0),MATCH(orders!L$1,products!$A$1:$G$1,0))</f>
        <v>4.7549999999999999</v>
      </c>
      <c r="M461" s="5">
        <f t="shared" si="14"/>
        <v>23.774999999999999</v>
      </c>
      <c r="N461" t="str">
        <f>IF(I461="Rob","Robusta",IF(I461="Exc","Excelsa",IF(I461="Ara","Arabica",IF(I461="Lib","Liberica",""))))</f>
        <v>Liberica</v>
      </c>
      <c r="O461" t="str">
        <f t="shared" si="15"/>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INDEX(products!$A$1:$G$49,MATCH($D462,products!$A$1:$A$49,0),MATCH(orders!I$1,products!$A$1:$G$1,0))</f>
        <v>Rob</v>
      </c>
      <c r="J462" t="str">
        <f>INDEX(products!$A$1:$G$49,MATCH($D462,products!$A$1:$A$49,0),MATCH(orders!J$1,products!$A$1:$G$1,0))</f>
        <v>D</v>
      </c>
      <c r="K462" s="4">
        <f>INDEX(products!$A$1:$G$49,MATCH($D462,products!$A$1:$A$49,0),MATCH(orders!K$1,products!$A$1:$G$1,0))</f>
        <v>0.5</v>
      </c>
      <c r="L462" s="5">
        <f>INDEX(products!$A$1:$G$49,MATCH($D462,products!$A$1:$A$49,0),MATCH(orders!L$1,products!$A$1:$G$1,0))</f>
        <v>5.3699999999999992</v>
      </c>
      <c r="M462" s="5">
        <f t="shared" si="14"/>
        <v>16.11</v>
      </c>
      <c r="N462" t="str">
        <f>IF(I462="Rob","Robusta",IF(I462="Exc","Excelsa",IF(I462="Ara","Arabica",IF(I462="Lib","Liberica",""))))</f>
        <v>Robusta</v>
      </c>
      <c r="O462" t="str">
        <f t="shared" si="15"/>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INDEX(products!$A$1:$G$49,MATCH($D463,products!$A$1:$A$49,0),MATCH(orders!I$1,products!$A$1:$G$1,0))</f>
        <v>Rob</v>
      </c>
      <c r="J463" t="str">
        <f>INDEX(products!$A$1:$G$49,MATCH($D463,products!$A$1:$A$49,0),MATCH(orders!J$1,products!$A$1:$G$1,0))</f>
        <v>D</v>
      </c>
      <c r="K463" s="4">
        <f>INDEX(products!$A$1:$G$49,MATCH($D463,products!$A$1:$A$49,0),MATCH(orders!K$1,products!$A$1:$G$1,0))</f>
        <v>0.2</v>
      </c>
      <c r="L463" s="5">
        <f>INDEX(products!$A$1:$G$49,MATCH($D463,products!$A$1:$A$49,0),MATCH(orders!L$1,products!$A$1:$G$1,0))</f>
        <v>2.6849999999999996</v>
      </c>
      <c r="M463" s="5">
        <f t="shared" si="14"/>
        <v>10.739999999999998</v>
      </c>
      <c r="N463" t="str">
        <f>IF(I463="Rob","Robusta",IF(I463="Exc","Excelsa",IF(I463="Ara","Arabica",IF(I463="Lib","Liberica",""))))</f>
        <v>Robusta</v>
      </c>
      <c r="O463" t="str">
        <f t="shared" si="15"/>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INDEX(products!$A$1:$G$49,MATCH($D464,products!$A$1:$A$49,0),MATCH(orders!I$1,products!$A$1:$G$1,0))</f>
        <v>Ara</v>
      </c>
      <c r="J464" t="str">
        <f>INDEX(products!$A$1:$G$49,MATCH($D464,products!$A$1:$A$49,0),MATCH(orders!J$1,products!$A$1:$G$1,0))</f>
        <v>D</v>
      </c>
      <c r="K464" s="4">
        <f>INDEX(products!$A$1:$G$49,MATCH($D464,products!$A$1:$A$49,0),MATCH(orders!K$1,products!$A$1:$G$1,0))</f>
        <v>1</v>
      </c>
      <c r="L464" s="5">
        <f>INDEX(products!$A$1:$G$49,MATCH($D464,products!$A$1:$A$49,0),MATCH(orders!L$1,products!$A$1:$G$1,0))</f>
        <v>9.9499999999999993</v>
      </c>
      <c r="M464" s="5">
        <f t="shared" si="14"/>
        <v>49.75</v>
      </c>
      <c r="N464" t="str">
        <f>IF(I464="Rob","Robusta",IF(I464="Exc","Excelsa",IF(I464="Ara","Arabica",IF(I464="Lib","Liberica",""))))</f>
        <v>Arabica</v>
      </c>
      <c r="O464" t="str">
        <f t="shared" si="15"/>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INDEX(products!$A$1:$G$49,MATCH($D465,products!$A$1:$A$49,0),MATCH(orders!I$1,products!$A$1:$G$1,0))</f>
        <v>Exc</v>
      </c>
      <c r="J465" t="str">
        <f>INDEX(products!$A$1:$G$49,MATCH($D465,products!$A$1:$A$49,0),MATCH(orders!J$1,products!$A$1:$G$1,0))</f>
        <v>M</v>
      </c>
      <c r="K465" s="4">
        <f>INDEX(products!$A$1:$G$49,MATCH($D465,products!$A$1:$A$49,0),MATCH(orders!K$1,products!$A$1:$G$1,0))</f>
        <v>1</v>
      </c>
      <c r="L465" s="5">
        <f>INDEX(products!$A$1:$G$49,MATCH($D465,products!$A$1:$A$49,0),MATCH(orders!L$1,products!$A$1:$G$1,0))</f>
        <v>13.75</v>
      </c>
      <c r="M465" s="5">
        <f t="shared" si="14"/>
        <v>27.5</v>
      </c>
      <c r="N465" t="str">
        <f>IF(I465="Rob","Robusta",IF(I465="Exc","Excelsa",IF(I465="Ara","Arabica",IF(I465="Lib","Liberica",""))))</f>
        <v>Excelsa</v>
      </c>
      <c r="O465" t="str">
        <f t="shared" si="15"/>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INDEX(products!$A$1:$G$49,MATCH($D466,products!$A$1:$A$49,0),MATCH(orders!I$1,products!$A$1:$G$1,0))</f>
        <v>Lib</v>
      </c>
      <c r="J466" t="str">
        <f>INDEX(products!$A$1:$G$49,MATCH($D466,products!$A$1:$A$49,0),MATCH(orders!J$1,products!$A$1:$G$1,0))</f>
        <v>D</v>
      </c>
      <c r="K466" s="4">
        <f>INDEX(products!$A$1:$G$49,MATCH($D466,products!$A$1:$A$49,0),MATCH(orders!K$1,products!$A$1:$G$1,0))</f>
        <v>2.5</v>
      </c>
      <c r="L466" s="5">
        <f>INDEX(products!$A$1:$G$49,MATCH($D466,products!$A$1:$A$49,0),MATCH(orders!L$1,products!$A$1:$G$1,0))</f>
        <v>29.784999999999997</v>
      </c>
      <c r="M466" s="5">
        <f t="shared" si="14"/>
        <v>119.13999999999999</v>
      </c>
      <c r="N466" t="str">
        <f>IF(I466="Rob","Robusta",IF(I466="Exc","Excelsa",IF(I466="Ara","Arabica",IF(I466="Lib","Liberica",""))))</f>
        <v>Liberica</v>
      </c>
      <c r="O466" t="str">
        <f t="shared" si="15"/>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INDEX(products!$A$1:$G$49,MATCH($D467,products!$A$1:$A$49,0),MATCH(orders!I$1,products!$A$1:$G$1,0))</f>
        <v>Rob</v>
      </c>
      <c r="J467" t="str">
        <f>INDEX(products!$A$1:$G$49,MATCH($D467,products!$A$1:$A$49,0),MATCH(orders!J$1,products!$A$1:$G$1,0))</f>
        <v>D</v>
      </c>
      <c r="K467" s="4">
        <f>INDEX(products!$A$1:$G$49,MATCH($D467,products!$A$1:$A$49,0),MATCH(orders!K$1,products!$A$1:$G$1,0))</f>
        <v>2.5</v>
      </c>
      <c r="L467" s="5">
        <f>INDEX(products!$A$1:$G$49,MATCH($D467,products!$A$1:$A$49,0),MATCH(orders!L$1,products!$A$1:$G$1,0))</f>
        <v>20.584999999999997</v>
      </c>
      <c r="M467" s="5">
        <f t="shared" si="14"/>
        <v>20.584999999999997</v>
      </c>
      <c r="N467" t="str">
        <f>IF(I467="Rob","Robusta",IF(I467="Exc","Excelsa",IF(I467="Ara","Arabica",IF(I467="Lib","Liberica",""))))</f>
        <v>Robusta</v>
      </c>
      <c r="O467" t="str">
        <f t="shared" si="15"/>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INDEX(products!$A$1:$G$49,MATCH($D468,products!$A$1:$A$49,0),MATCH(orders!I$1,products!$A$1:$G$1,0))</f>
        <v>Ara</v>
      </c>
      <c r="J468" t="str">
        <f>INDEX(products!$A$1:$G$49,MATCH($D468,products!$A$1:$A$49,0),MATCH(orders!J$1,products!$A$1:$G$1,0))</f>
        <v>D</v>
      </c>
      <c r="K468" s="4">
        <f>INDEX(products!$A$1:$G$49,MATCH($D468,products!$A$1:$A$49,0),MATCH(orders!K$1,products!$A$1:$G$1,0))</f>
        <v>0.2</v>
      </c>
      <c r="L468" s="5">
        <f>INDEX(products!$A$1:$G$49,MATCH($D468,products!$A$1:$A$49,0),MATCH(orders!L$1,products!$A$1:$G$1,0))</f>
        <v>2.9849999999999999</v>
      </c>
      <c r="M468" s="5">
        <f t="shared" si="14"/>
        <v>8.9550000000000001</v>
      </c>
      <c r="N468" t="str">
        <f>IF(I468="Rob","Robusta",IF(I468="Exc","Excelsa",IF(I468="Ara","Arabica",IF(I468="Lib","Liberica",""))))</f>
        <v>Arabica</v>
      </c>
      <c r="O468" t="str">
        <f t="shared" si="15"/>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INDEX(products!$A$1:$G$49,MATCH($D469,products!$A$1:$A$49,0),MATCH(orders!I$1,products!$A$1:$G$1,0))</f>
        <v>Ara</v>
      </c>
      <c r="J469" t="str">
        <f>INDEX(products!$A$1:$G$49,MATCH($D469,products!$A$1:$A$49,0),MATCH(orders!J$1,products!$A$1:$G$1,0))</f>
        <v>D</v>
      </c>
      <c r="K469" s="4">
        <f>INDEX(products!$A$1:$G$49,MATCH($D469,products!$A$1:$A$49,0),MATCH(orders!K$1,products!$A$1:$G$1,0))</f>
        <v>0.5</v>
      </c>
      <c r="L469" s="5">
        <f>INDEX(products!$A$1:$G$49,MATCH($D469,products!$A$1:$A$49,0),MATCH(orders!L$1,products!$A$1:$G$1,0))</f>
        <v>5.97</v>
      </c>
      <c r="M469" s="5">
        <f t="shared" si="14"/>
        <v>5.97</v>
      </c>
      <c r="N469" t="str">
        <f>IF(I469="Rob","Robusta",IF(I469="Exc","Excelsa",IF(I469="Ara","Arabica",IF(I469="Lib","Liberica",""))))</f>
        <v>Arabica</v>
      </c>
      <c r="O469" t="str">
        <f t="shared" si="15"/>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INDEX(products!$A$1:$G$49,MATCH($D470,products!$A$1:$A$49,0),MATCH(orders!I$1,products!$A$1:$G$1,0))</f>
        <v>Exc</v>
      </c>
      <c r="J470" t="str">
        <f>INDEX(products!$A$1:$G$49,MATCH($D470,products!$A$1:$A$49,0),MATCH(orders!J$1,products!$A$1:$G$1,0))</f>
        <v>M</v>
      </c>
      <c r="K470" s="4">
        <f>INDEX(products!$A$1:$G$49,MATCH($D470,products!$A$1:$A$49,0),MATCH(orders!K$1,products!$A$1:$G$1,0))</f>
        <v>1</v>
      </c>
      <c r="L470" s="5">
        <f>INDEX(products!$A$1:$G$49,MATCH($D470,products!$A$1:$A$49,0),MATCH(orders!L$1,products!$A$1:$G$1,0))</f>
        <v>13.75</v>
      </c>
      <c r="M470" s="5">
        <f t="shared" si="14"/>
        <v>41.25</v>
      </c>
      <c r="N470" t="str">
        <f>IF(I470="Rob","Robusta",IF(I470="Exc","Excelsa",IF(I470="Ara","Arabica",IF(I470="Lib","Liberica",""))))</f>
        <v>Excelsa</v>
      </c>
      <c r="O470" t="str">
        <f t="shared" si="15"/>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INDEX(products!$A$1:$G$49,MATCH($D471,products!$A$1:$A$49,0),MATCH(orders!I$1,products!$A$1:$G$1,0))</f>
        <v>Exc</v>
      </c>
      <c r="J471" t="str">
        <f>INDEX(products!$A$1:$G$49,MATCH($D471,products!$A$1:$A$49,0),MATCH(orders!J$1,products!$A$1:$G$1,0))</f>
        <v>L</v>
      </c>
      <c r="K471" s="4">
        <f>INDEX(products!$A$1:$G$49,MATCH($D471,products!$A$1:$A$49,0),MATCH(orders!K$1,products!$A$1:$G$1,0))</f>
        <v>0.2</v>
      </c>
      <c r="L471" s="5">
        <f>INDEX(products!$A$1:$G$49,MATCH($D471,products!$A$1:$A$49,0),MATCH(orders!L$1,products!$A$1:$G$1,0))</f>
        <v>4.4550000000000001</v>
      </c>
      <c r="M471" s="5">
        <f t="shared" si="14"/>
        <v>22.274999999999999</v>
      </c>
      <c r="N471" t="str">
        <f>IF(I471="Rob","Robusta",IF(I471="Exc","Excelsa",IF(I471="Ara","Arabica",IF(I471="Lib","Liberica",""))))</f>
        <v>Excelsa</v>
      </c>
      <c r="O471" t="str">
        <f t="shared" si="15"/>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INDEX(products!$A$1:$G$49,MATCH($D472,products!$A$1:$A$49,0),MATCH(orders!I$1,products!$A$1:$G$1,0))</f>
        <v>Ara</v>
      </c>
      <c r="J472" t="str">
        <f>INDEX(products!$A$1:$G$49,MATCH($D472,products!$A$1:$A$49,0),MATCH(orders!J$1,products!$A$1:$G$1,0))</f>
        <v>M</v>
      </c>
      <c r="K472" s="4">
        <f>INDEX(products!$A$1:$G$49,MATCH($D472,products!$A$1:$A$49,0),MATCH(orders!K$1,products!$A$1:$G$1,0))</f>
        <v>0.5</v>
      </c>
      <c r="L472" s="5">
        <f>INDEX(products!$A$1:$G$49,MATCH($D472,products!$A$1:$A$49,0),MATCH(orders!L$1,products!$A$1:$G$1,0))</f>
        <v>6.75</v>
      </c>
      <c r="M472" s="5">
        <f t="shared" si="14"/>
        <v>6.75</v>
      </c>
      <c r="N472" t="str">
        <f>IF(I472="Rob","Robusta",IF(I472="Exc","Excelsa",IF(I472="Ara","Arabica",IF(I472="Lib","Liberica",""))))</f>
        <v>Arabica</v>
      </c>
      <c r="O472" t="str">
        <f t="shared" si="15"/>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INDEX(products!$A$1:$G$49,MATCH($D473,products!$A$1:$A$49,0),MATCH(orders!I$1,products!$A$1:$G$1,0))</f>
        <v>Lib</v>
      </c>
      <c r="J473" t="str">
        <f>INDEX(products!$A$1:$G$49,MATCH($D473,products!$A$1:$A$49,0),MATCH(orders!J$1,products!$A$1:$G$1,0))</f>
        <v>M</v>
      </c>
      <c r="K473" s="4">
        <f>INDEX(products!$A$1:$G$49,MATCH($D473,products!$A$1:$A$49,0),MATCH(orders!K$1,products!$A$1:$G$1,0))</f>
        <v>2.5</v>
      </c>
      <c r="L473" s="5">
        <f>INDEX(products!$A$1:$G$49,MATCH($D473,products!$A$1:$A$49,0),MATCH(orders!L$1,products!$A$1:$G$1,0))</f>
        <v>33.464999999999996</v>
      </c>
      <c r="M473" s="5">
        <f t="shared" si="14"/>
        <v>133.85999999999999</v>
      </c>
      <c r="N473" t="str">
        <f>IF(I473="Rob","Robusta",IF(I473="Exc","Excelsa",IF(I473="Ara","Arabica",IF(I473="Lib","Liberica",""))))</f>
        <v>Liberica</v>
      </c>
      <c r="O473" t="str">
        <f t="shared" si="15"/>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INDEX(products!$A$1:$G$49,MATCH($D474,products!$A$1:$A$49,0),MATCH(orders!I$1,products!$A$1:$G$1,0))</f>
        <v>Ara</v>
      </c>
      <c r="J474" t="str">
        <f>INDEX(products!$A$1:$G$49,MATCH($D474,products!$A$1:$A$49,0),MATCH(orders!J$1,products!$A$1:$G$1,0))</f>
        <v>D</v>
      </c>
      <c r="K474" s="4">
        <f>INDEX(products!$A$1:$G$49,MATCH($D474,products!$A$1:$A$49,0),MATCH(orders!K$1,products!$A$1:$G$1,0))</f>
        <v>0.2</v>
      </c>
      <c r="L474" s="5">
        <f>INDEX(products!$A$1:$G$49,MATCH($D474,products!$A$1:$A$49,0),MATCH(orders!L$1,products!$A$1:$G$1,0))</f>
        <v>2.9849999999999999</v>
      </c>
      <c r="M474" s="5">
        <f t="shared" si="14"/>
        <v>5.97</v>
      </c>
      <c r="N474" t="str">
        <f>IF(I474="Rob","Robusta",IF(I474="Exc","Excelsa",IF(I474="Ara","Arabica",IF(I474="Lib","Liberica",""))))</f>
        <v>Arabica</v>
      </c>
      <c r="O474" t="str">
        <f t="shared" si="15"/>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INDEX(products!$A$1:$G$49,MATCH($D475,products!$A$1:$A$49,0),MATCH(orders!I$1,products!$A$1:$G$1,0))</f>
        <v>Ara</v>
      </c>
      <c r="J475" t="str">
        <f>INDEX(products!$A$1:$G$49,MATCH($D475,products!$A$1:$A$49,0),MATCH(orders!J$1,products!$A$1:$G$1,0))</f>
        <v>L</v>
      </c>
      <c r="K475" s="4">
        <f>INDEX(products!$A$1:$G$49,MATCH($D475,products!$A$1:$A$49,0),MATCH(orders!K$1,products!$A$1:$G$1,0))</f>
        <v>1</v>
      </c>
      <c r="L475" s="5">
        <f>INDEX(products!$A$1:$G$49,MATCH($D475,products!$A$1:$A$49,0),MATCH(orders!L$1,products!$A$1:$G$1,0))</f>
        <v>12.95</v>
      </c>
      <c r="M475" s="5">
        <f t="shared" si="14"/>
        <v>25.9</v>
      </c>
      <c r="N475" t="str">
        <f>IF(I475="Rob","Robusta",IF(I475="Exc","Excelsa",IF(I475="Ara","Arabica",IF(I475="Lib","Liberica",""))))</f>
        <v>Arabica</v>
      </c>
      <c r="O475" t="str">
        <f t="shared" si="15"/>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INDEX(products!$A$1:$G$49,MATCH($D476,products!$A$1:$A$49,0),MATCH(orders!I$1,products!$A$1:$G$1,0))</f>
        <v>Exc</v>
      </c>
      <c r="J476" t="str">
        <f>INDEX(products!$A$1:$G$49,MATCH($D476,products!$A$1:$A$49,0),MATCH(orders!J$1,products!$A$1:$G$1,0))</f>
        <v>M</v>
      </c>
      <c r="K476" s="4">
        <f>INDEX(products!$A$1:$G$49,MATCH($D476,products!$A$1:$A$49,0),MATCH(orders!K$1,products!$A$1:$G$1,0))</f>
        <v>2.5</v>
      </c>
      <c r="L476" s="5">
        <f>INDEX(products!$A$1:$G$49,MATCH($D476,products!$A$1:$A$49,0),MATCH(orders!L$1,products!$A$1:$G$1,0))</f>
        <v>31.624999999999996</v>
      </c>
      <c r="M476" s="5">
        <f t="shared" si="14"/>
        <v>31.624999999999996</v>
      </c>
      <c r="N476" t="str">
        <f>IF(I476="Rob","Robusta",IF(I476="Exc","Excelsa",IF(I476="Ara","Arabica",IF(I476="Lib","Liberica",""))))</f>
        <v>Excelsa</v>
      </c>
      <c r="O476" t="str">
        <f t="shared" si="15"/>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INDEX(products!$A$1:$G$49,MATCH($D477,products!$A$1:$A$49,0),MATCH(orders!I$1,products!$A$1:$G$1,0))</f>
        <v>Lib</v>
      </c>
      <c r="J477" t="str">
        <f>INDEX(products!$A$1:$G$49,MATCH($D477,products!$A$1:$A$49,0),MATCH(orders!J$1,products!$A$1:$G$1,0))</f>
        <v>M</v>
      </c>
      <c r="K477" s="4">
        <f>INDEX(products!$A$1:$G$49,MATCH($D477,products!$A$1:$A$49,0),MATCH(orders!K$1,products!$A$1:$G$1,0))</f>
        <v>0.2</v>
      </c>
      <c r="L477" s="5">
        <f>INDEX(products!$A$1:$G$49,MATCH($D477,products!$A$1:$A$49,0),MATCH(orders!L$1,products!$A$1:$G$1,0))</f>
        <v>4.3650000000000002</v>
      </c>
      <c r="M477" s="5">
        <f t="shared" si="14"/>
        <v>8.73</v>
      </c>
      <c r="N477" t="str">
        <f>IF(I477="Rob","Robusta",IF(I477="Exc","Excelsa",IF(I477="Ara","Arabica",IF(I477="Lib","Liberica",""))))</f>
        <v>Liberica</v>
      </c>
      <c r="O477" t="str">
        <f t="shared" si="15"/>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INDEX(products!$A$1:$G$49,MATCH($D478,products!$A$1:$A$49,0),MATCH(orders!I$1,products!$A$1:$G$1,0))</f>
        <v>Exc</v>
      </c>
      <c r="J478" t="str">
        <f>INDEX(products!$A$1:$G$49,MATCH($D478,products!$A$1:$A$49,0),MATCH(orders!J$1,products!$A$1:$G$1,0))</f>
        <v>L</v>
      </c>
      <c r="K478" s="4">
        <f>INDEX(products!$A$1:$G$49,MATCH($D478,products!$A$1:$A$49,0),MATCH(orders!K$1,products!$A$1:$G$1,0))</f>
        <v>0.2</v>
      </c>
      <c r="L478" s="5">
        <f>INDEX(products!$A$1:$G$49,MATCH($D478,products!$A$1:$A$49,0),MATCH(orders!L$1,products!$A$1:$G$1,0))</f>
        <v>4.4550000000000001</v>
      </c>
      <c r="M478" s="5">
        <f t="shared" si="14"/>
        <v>26.73</v>
      </c>
      <c r="N478" t="str">
        <f>IF(I478="Rob","Robusta",IF(I478="Exc","Excelsa",IF(I478="Ara","Arabica",IF(I478="Lib","Liberica",""))))</f>
        <v>Excelsa</v>
      </c>
      <c r="O478" t="str">
        <f t="shared" si="15"/>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INDEX(products!$A$1:$G$49,MATCH($D479,products!$A$1:$A$49,0),MATCH(orders!I$1,products!$A$1:$G$1,0))</f>
        <v>Lib</v>
      </c>
      <c r="J479" t="str">
        <f>INDEX(products!$A$1:$G$49,MATCH($D479,products!$A$1:$A$49,0),MATCH(orders!J$1,products!$A$1:$G$1,0))</f>
        <v>M</v>
      </c>
      <c r="K479" s="4">
        <f>INDEX(products!$A$1:$G$49,MATCH($D479,products!$A$1:$A$49,0),MATCH(orders!K$1,products!$A$1:$G$1,0))</f>
        <v>0.2</v>
      </c>
      <c r="L479" s="5">
        <f>INDEX(products!$A$1:$G$49,MATCH($D479,products!$A$1:$A$49,0),MATCH(orders!L$1,products!$A$1:$G$1,0))</f>
        <v>4.3650000000000002</v>
      </c>
      <c r="M479" s="5">
        <f t="shared" si="14"/>
        <v>26.19</v>
      </c>
      <c r="N479" t="str">
        <f>IF(I479="Rob","Robusta",IF(I479="Exc","Excelsa",IF(I479="Ara","Arabica",IF(I479="Lib","Liberica",""))))</f>
        <v>Liberica</v>
      </c>
      <c r="O479" t="str">
        <f t="shared" si="15"/>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INDEX(products!$A$1:$G$49,MATCH($D480,products!$A$1:$A$49,0),MATCH(orders!I$1,products!$A$1:$G$1,0))</f>
        <v>Rob</v>
      </c>
      <c r="J480" t="str">
        <f>INDEX(products!$A$1:$G$49,MATCH($D480,products!$A$1:$A$49,0),MATCH(orders!J$1,products!$A$1:$G$1,0))</f>
        <v>D</v>
      </c>
      <c r="K480" s="4">
        <f>INDEX(products!$A$1:$G$49,MATCH($D480,products!$A$1:$A$49,0),MATCH(orders!K$1,products!$A$1:$G$1,0))</f>
        <v>1</v>
      </c>
      <c r="L480" s="5">
        <f>INDEX(products!$A$1:$G$49,MATCH($D480,products!$A$1:$A$49,0),MATCH(orders!L$1,products!$A$1:$G$1,0))</f>
        <v>8.9499999999999993</v>
      </c>
      <c r="M480" s="5">
        <f t="shared" si="14"/>
        <v>53.699999999999996</v>
      </c>
      <c r="N480" t="str">
        <f>IF(I480="Rob","Robusta",IF(I480="Exc","Excelsa",IF(I480="Ara","Arabica",IF(I480="Lib","Liberica",""))))</f>
        <v>Robusta</v>
      </c>
      <c r="O480" t="str">
        <f t="shared" si="15"/>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INDEX(products!$A$1:$G$49,MATCH($D481,products!$A$1:$A$49,0),MATCH(orders!I$1,products!$A$1:$G$1,0))</f>
        <v>Exc</v>
      </c>
      <c r="J481" t="str">
        <f>INDEX(products!$A$1:$G$49,MATCH($D481,products!$A$1:$A$49,0),MATCH(orders!J$1,products!$A$1:$G$1,0))</f>
        <v>M</v>
      </c>
      <c r="K481" s="4">
        <f>INDEX(products!$A$1:$G$49,MATCH($D481,products!$A$1:$A$49,0),MATCH(orders!K$1,products!$A$1:$G$1,0))</f>
        <v>2.5</v>
      </c>
      <c r="L481" s="5">
        <f>INDEX(products!$A$1:$G$49,MATCH($D481,products!$A$1:$A$49,0),MATCH(orders!L$1,products!$A$1:$G$1,0))</f>
        <v>31.624999999999996</v>
      </c>
      <c r="M481" s="5">
        <f t="shared" si="14"/>
        <v>126.49999999999999</v>
      </c>
      <c r="N481" t="str">
        <f>IF(I481="Rob","Robusta",IF(I481="Exc","Excelsa",IF(I481="Ara","Arabica",IF(I481="Lib","Liberica",""))))</f>
        <v>Excelsa</v>
      </c>
      <c r="O481" t="str">
        <f t="shared" si="15"/>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INDEX(products!$A$1:$G$49,MATCH($D482,products!$A$1:$A$49,0),MATCH(orders!I$1,products!$A$1:$G$1,0))</f>
        <v>Exc</v>
      </c>
      <c r="J482" t="str">
        <f>INDEX(products!$A$1:$G$49,MATCH($D482,products!$A$1:$A$49,0),MATCH(orders!J$1,products!$A$1:$G$1,0))</f>
        <v>M</v>
      </c>
      <c r="K482" s="4">
        <f>INDEX(products!$A$1:$G$49,MATCH($D482,products!$A$1:$A$49,0),MATCH(orders!K$1,products!$A$1:$G$1,0))</f>
        <v>0.2</v>
      </c>
      <c r="L482" s="5">
        <f>INDEX(products!$A$1:$G$49,MATCH($D482,products!$A$1:$A$49,0),MATCH(orders!L$1,products!$A$1:$G$1,0))</f>
        <v>4.125</v>
      </c>
      <c r="M482" s="5">
        <f t="shared" si="14"/>
        <v>4.125</v>
      </c>
      <c r="N482" t="str">
        <f>IF(I482="Rob","Robusta",IF(I482="Exc","Excelsa",IF(I482="Ara","Arabica",IF(I482="Lib","Liberica",""))))</f>
        <v>Excelsa</v>
      </c>
      <c r="O482" t="str">
        <f t="shared" si="15"/>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INDEX(products!$A$1:$G$49,MATCH($D483,products!$A$1:$A$49,0),MATCH(orders!I$1,products!$A$1:$G$1,0))</f>
        <v>Rob</v>
      </c>
      <c r="J483" t="str">
        <f>INDEX(products!$A$1:$G$49,MATCH($D483,products!$A$1:$A$49,0),MATCH(orders!J$1,products!$A$1:$G$1,0))</f>
        <v>L</v>
      </c>
      <c r="K483" s="4">
        <f>INDEX(products!$A$1:$G$49,MATCH($D483,products!$A$1:$A$49,0),MATCH(orders!K$1,products!$A$1:$G$1,0))</f>
        <v>1</v>
      </c>
      <c r="L483" s="5">
        <f>INDEX(products!$A$1:$G$49,MATCH($D483,products!$A$1:$A$49,0),MATCH(orders!L$1,products!$A$1:$G$1,0))</f>
        <v>11.95</v>
      </c>
      <c r="M483" s="5">
        <f t="shared" si="14"/>
        <v>23.9</v>
      </c>
      <c r="N483" t="str">
        <f>IF(I483="Rob","Robusta",IF(I483="Exc","Excelsa",IF(I483="Ara","Arabica",IF(I483="Lib","Liberica",""))))</f>
        <v>Robusta</v>
      </c>
      <c r="O483" t="str">
        <f t="shared" si="15"/>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INDEX(products!$A$1:$G$49,MATCH($D484,products!$A$1:$A$49,0),MATCH(orders!I$1,products!$A$1:$G$1,0))</f>
        <v>Exc</v>
      </c>
      <c r="J484" t="str">
        <f>INDEX(products!$A$1:$G$49,MATCH($D484,products!$A$1:$A$49,0),MATCH(orders!J$1,products!$A$1:$G$1,0))</f>
        <v>D</v>
      </c>
      <c r="K484" s="4">
        <f>INDEX(products!$A$1:$G$49,MATCH($D484,products!$A$1:$A$49,0),MATCH(orders!K$1,products!$A$1:$G$1,0))</f>
        <v>2.5</v>
      </c>
      <c r="L484" s="5">
        <f>INDEX(products!$A$1:$G$49,MATCH($D484,products!$A$1:$A$49,0),MATCH(orders!L$1,products!$A$1:$G$1,0))</f>
        <v>27.945</v>
      </c>
      <c r="M484" s="5">
        <f t="shared" si="14"/>
        <v>139.72499999999999</v>
      </c>
      <c r="N484" t="str">
        <f>IF(I484="Rob","Robusta",IF(I484="Exc","Excelsa",IF(I484="Ara","Arabica",IF(I484="Lib","Liberica",""))))</f>
        <v>Excelsa</v>
      </c>
      <c r="O484" t="str">
        <f t="shared" si="15"/>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INDEX(products!$A$1:$G$49,MATCH($D485,products!$A$1:$A$49,0),MATCH(orders!I$1,products!$A$1:$G$1,0))</f>
        <v>Lib</v>
      </c>
      <c r="J485" t="str">
        <f>INDEX(products!$A$1:$G$49,MATCH($D485,products!$A$1:$A$49,0),MATCH(orders!J$1,products!$A$1:$G$1,0))</f>
        <v>D</v>
      </c>
      <c r="K485" s="4">
        <f>INDEX(products!$A$1:$G$49,MATCH($D485,products!$A$1:$A$49,0),MATCH(orders!K$1,products!$A$1:$G$1,0))</f>
        <v>2.5</v>
      </c>
      <c r="L485" s="5">
        <f>INDEX(products!$A$1:$G$49,MATCH($D485,products!$A$1:$A$49,0),MATCH(orders!L$1,products!$A$1:$G$1,0))</f>
        <v>29.784999999999997</v>
      </c>
      <c r="M485" s="5">
        <f t="shared" si="14"/>
        <v>59.569999999999993</v>
      </c>
      <c r="N485" t="str">
        <f>IF(I485="Rob","Robusta",IF(I485="Exc","Excelsa",IF(I485="Ara","Arabica",IF(I485="Lib","Liberica",""))))</f>
        <v>Liberica</v>
      </c>
      <c r="O485" t="str">
        <f t="shared" si="15"/>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INDEX(products!$A$1:$G$49,MATCH($D486,products!$A$1:$A$49,0),MATCH(orders!I$1,products!$A$1:$G$1,0))</f>
        <v>Lib</v>
      </c>
      <c r="J486" t="str">
        <f>INDEX(products!$A$1:$G$49,MATCH($D486,products!$A$1:$A$49,0),MATCH(orders!J$1,products!$A$1:$G$1,0))</f>
        <v>L</v>
      </c>
      <c r="K486" s="4">
        <f>INDEX(products!$A$1:$G$49,MATCH($D486,products!$A$1:$A$49,0),MATCH(orders!K$1,products!$A$1:$G$1,0))</f>
        <v>0.5</v>
      </c>
      <c r="L486" s="5">
        <f>INDEX(products!$A$1:$G$49,MATCH($D486,products!$A$1:$A$49,0),MATCH(orders!L$1,products!$A$1:$G$1,0))</f>
        <v>9.51</v>
      </c>
      <c r="M486" s="5">
        <f t="shared" si="14"/>
        <v>57.06</v>
      </c>
      <c r="N486" t="str">
        <f>IF(I486="Rob","Robusta",IF(I486="Exc","Excelsa",IF(I486="Ara","Arabica",IF(I486="Lib","Liberica",""))))</f>
        <v>Liberica</v>
      </c>
      <c r="O486" t="str">
        <f t="shared" si="15"/>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INDEX(products!$A$1:$G$49,MATCH($D487,products!$A$1:$A$49,0),MATCH(orders!I$1,products!$A$1:$G$1,0))</f>
        <v>Rob</v>
      </c>
      <c r="J487" t="str">
        <f>INDEX(products!$A$1:$G$49,MATCH($D487,products!$A$1:$A$49,0),MATCH(orders!J$1,products!$A$1:$G$1,0))</f>
        <v>L</v>
      </c>
      <c r="K487" s="4">
        <f>INDEX(products!$A$1:$G$49,MATCH($D487,products!$A$1:$A$49,0),MATCH(orders!K$1,products!$A$1:$G$1,0))</f>
        <v>0.2</v>
      </c>
      <c r="L487" s="5">
        <f>INDEX(products!$A$1:$G$49,MATCH($D487,products!$A$1:$A$49,0),MATCH(orders!L$1,products!$A$1:$G$1,0))</f>
        <v>3.5849999999999995</v>
      </c>
      <c r="M487" s="5">
        <f t="shared" si="14"/>
        <v>21.509999999999998</v>
      </c>
      <c r="N487" t="str">
        <f>IF(I487="Rob","Robusta",IF(I487="Exc","Excelsa",IF(I487="Ara","Arabica",IF(I487="Lib","Liberica",""))))</f>
        <v>Robusta</v>
      </c>
      <c r="O487" t="str">
        <f t="shared" si="15"/>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INDEX(products!$A$1:$G$49,MATCH($D488,products!$A$1:$A$49,0),MATCH(orders!I$1,products!$A$1:$G$1,0))</f>
        <v>Lib</v>
      </c>
      <c r="J488" t="str">
        <f>INDEX(products!$A$1:$G$49,MATCH($D488,products!$A$1:$A$49,0),MATCH(orders!J$1,products!$A$1:$G$1,0))</f>
        <v>M</v>
      </c>
      <c r="K488" s="4">
        <f>INDEX(products!$A$1:$G$49,MATCH($D488,products!$A$1:$A$49,0),MATCH(orders!K$1,products!$A$1:$G$1,0))</f>
        <v>0.5</v>
      </c>
      <c r="L488" s="5">
        <f>INDEX(products!$A$1:$G$49,MATCH($D488,products!$A$1:$A$49,0),MATCH(orders!L$1,products!$A$1:$G$1,0))</f>
        <v>8.73</v>
      </c>
      <c r="M488" s="5">
        <f t="shared" si="14"/>
        <v>52.38</v>
      </c>
      <c r="N488" t="str">
        <f>IF(I488="Rob","Robusta",IF(I488="Exc","Excelsa",IF(I488="Ara","Arabica",IF(I488="Lib","Liberica",""))))</f>
        <v>Liberica</v>
      </c>
      <c r="O488" t="str">
        <f t="shared" si="15"/>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INDEX(products!$A$1:$G$49,MATCH($D489,products!$A$1:$A$49,0),MATCH(orders!I$1,products!$A$1:$G$1,0))</f>
        <v>Exc</v>
      </c>
      <c r="J489" t="str">
        <f>INDEX(products!$A$1:$G$49,MATCH($D489,products!$A$1:$A$49,0),MATCH(orders!J$1,products!$A$1:$G$1,0))</f>
        <v>D</v>
      </c>
      <c r="K489" s="4">
        <f>INDEX(products!$A$1:$G$49,MATCH($D489,products!$A$1:$A$49,0),MATCH(orders!K$1,products!$A$1:$G$1,0))</f>
        <v>1</v>
      </c>
      <c r="L489" s="5">
        <f>INDEX(products!$A$1:$G$49,MATCH($D489,products!$A$1:$A$49,0),MATCH(orders!L$1,products!$A$1:$G$1,0))</f>
        <v>12.15</v>
      </c>
      <c r="M489" s="5">
        <f t="shared" si="14"/>
        <v>72.900000000000006</v>
      </c>
      <c r="N489" t="str">
        <f>IF(I489="Rob","Robusta",IF(I489="Exc","Excelsa",IF(I489="Ara","Arabica",IF(I489="Lib","Liberica",""))))</f>
        <v>Excelsa</v>
      </c>
      <c r="O489" t="str">
        <f t="shared" si="15"/>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INDEX(products!$A$1:$G$49,MATCH($D490,products!$A$1:$A$49,0),MATCH(orders!I$1,products!$A$1:$G$1,0))</f>
        <v>Rob</v>
      </c>
      <c r="J490" t="str">
        <f>INDEX(products!$A$1:$G$49,MATCH($D490,products!$A$1:$A$49,0),MATCH(orders!J$1,products!$A$1:$G$1,0))</f>
        <v>M</v>
      </c>
      <c r="K490" s="4">
        <f>INDEX(products!$A$1:$G$49,MATCH($D490,products!$A$1:$A$49,0),MATCH(orders!K$1,products!$A$1:$G$1,0))</f>
        <v>0.2</v>
      </c>
      <c r="L490" s="5">
        <f>INDEX(products!$A$1:$G$49,MATCH($D490,products!$A$1:$A$49,0),MATCH(orders!L$1,products!$A$1:$G$1,0))</f>
        <v>2.9849999999999999</v>
      </c>
      <c r="M490" s="5">
        <f t="shared" si="14"/>
        <v>14.924999999999999</v>
      </c>
      <c r="N490" t="str">
        <f>IF(I490="Rob","Robusta",IF(I490="Exc","Excelsa",IF(I490="Ara","Arabica",IF(I490="Lib","Liberica",""))))</f>
        <v>Robusta</v>
      </c>
      <c r="O490" t="str">
        <f t="shared" si="15"/>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INDEX(products!$A$1:$G$49,MATCH($D491,products!$A$1:$A$49,0),MATCH(orders!I$1,products!$A$1:$G$1,0))</f>
        <v>Lib</v>
      </c>
      <c r="J491" t="str">
        <f>INDEX(products!$A$1:$G$49,MATCH($D491,products!$A$1:$A$49,0),MATCH(orders!J$1,products!$A$1:$G$1,0))</f>
        <v>L</v>
      </c>
      <c r="K491" s="4">
        <f>INDEX(products!$A$1:$G$49,MATCH($D491,products!$A$1:$A$49,0),MATCH(orders!K$1,products!$A$1:$G$1,0))</f>
        <v>1</v>
      </c>
      <c r="L491" s="5">
        <f>INDEX(products!$A$1:$G$49,MATCH($D491,products!$A$1:$A$49,0),MATCH(orders!L$1,products!$A$1:$G$1,0))</f>
        <v>15.85</v>
      </c>
      <c r="M491" s="5">
        <f t="shared" si="14"/>
        <v>95.1</v>
      </c>
      <c r="N491" t="str">
        <f>IF(I491="Rob","Robusta",IF(I491="Exc","Excelsa",IF(I491="Ara","Arabica",IF(I491="Lib","Liberica",""))))</f>
        <v>Liberica</v>
      </c>
      <c r="O491" t="str">
        <f t="shared" si="15"/>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INDEX(products!$A$1:$G$49,MATCH($D492,products!$A$1:$A$49,0),MATCH(orders!I$1,products!$A$1:$G$1,0))</f>
        <v>Lib</v>
      </c>
      <c r="J492" t="str">
        <f>INDEX(products!$A$1:$G$49,MATCH($D492,products!$A$1:$A$49,0),MATCH(orders!J$1,products!$A$1:$G$1,0))</f>
        <v>D</v>
      </c>
      <c r="K492" s="4">
        <f>INDEX(products!$A$1:$G$49,MATCH($D492,products!$A$1:$A$49,0),MATCH(orders!K$1,products!$A$1:$G$1,0))</f>
        <v>0.5</v>
      </c>
      <c r="L492" s="5">
        <f>INDEX(products!$A$1:$G$49,MATCH($D492,products!$A$1:$A$49,0),MATCH(orders!L$1,products!$A$1:$G$1,0))</f>
        <v>7.77</v>
      </c>
      <c r="M492" s="5">
        <f t="shared" si="14"/>
        <v>15.54</v>
      </c>
      <c r="N492" t="str">
        <f>IF(I492="Rob","Robusta",IF(I492="Exc","Excelsa",IF(I492="Ara","Arabica",IF(I492="Lib","Liberica",""))))</f>
        <v>Liberica</v>
      </c>
      <c r="O492" t="str">
        <f t="shared" si="15"/>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INDEX(products!$A$1:$G$49,MATCH($D493,products!$A$1:$A$49,0),MATCH(orders!I$1,products!$A$1:$G$1,0))</f>
        <v>Lib</v>
      </c>
      <c r="J493" t="str">
        <f>INDEX(products!$A$1:$G$49,MATCH($D493,products!$A$1:$A$49,0),MATCH(orders!J$1,products!$A$1:$G$1,0))</f>
        <v>D</v>
      </c>
      <c r="K493" s="4">
        <f>INDEX(products!$A$1:$G$49,MATCH($D493,products!$A$1:$A$49,0),MATCH(orders!K$1,products!$A$1:$G$1,0))</f>
        <v>0.2</v>
      </c>
      <c r="L493" s="5">
        <f>INDEX(products!$A$1:$G$49,MATCH($D493,products!$A$1:$A$49,0),MATCH(orders!L$1,products!$A$1:$G$1,0))</f>
        <v>3.8849999999999998</v>
      </c>
      <c r="M493" s="5">
        <f t="shared" si="14"/>
        <v>23.31</v>
      </c>
      <c r="N493" t="str">
        <f>IF(I493="Rob","Robusta",IF(I493="Exc","Excelsa",IF(I493="Ara","Arabica",IF(I493="Lib","Liberica",""))))</f>
        <v>Liberica</v>
      </c>
      <c r="O493" t="str">
        <f t="shared" si="15"/>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INDEX(products!$A$1:$G$49,MATCH($D494,products!$A$1:$A$49,0),MATCH(orders!I$1,products!$A$1:$G$1,0))</f>
        <v>Exc</v>
      </c>
      <c r="J494" t="str">
        <f>INDEX(products!$A$1:$G$49,MATCH($D494,products!$A$1:$A$49,0),MATCH(orders!J$1,products!$A$1:$G$1,0))</f>
        <v>M</v>
      </c>
      <c r="K494" s="4">
        <f>INDEX(products!$A$1:$G$49,MATCH($D494,products!$A$1:$A$49,0),MATCH(orders!K$1,products!$A$1:$G$1,0))</f>
        <v>0.2</v>
      </c>
      <c r="L494" s="5">
        <f>INDEX(products!$A$1:$G$49,MATCH($D494,products!$A$1:$A$49,0),MATCH(orders!L$1,products!$A$1:$G$1,0))</f>
        <v>4.125</v>
      </c>
      <c r="M494" s="5">
        <f t="shared" si="14"/>
        <v>4.125</v>
      </c>
      <c r="N494" t="str">
        <f>IF(I494="Rob","Robusta",IF(I494="Exc","Excelsa",IF(I494="Ara","Arabica",IF(I494="Lib","Liberica",""))))</f>
        <v>Excelsa</v>
      </c>
      <c r="O494" t="str">
        <f t="shared" si="15"/>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INDEX(products!$A$1:$G$49,MATCH($D495,products!$A$1:$A$49,0),MATCH(orders!I$1,products!$A$1:$G$1,0))</f>
        <v>Rob</v>
      </c>
      <c r="J495" t="str">
        <f>INDEX(products!$A$1:$G$49,MATCH($D495,products!$A$1:$A$49,0),MATCH(orders!J$1,products!$A$1:$G$1,0))</f>
        <v>M</v>
      </c>
      <c r="K495" s="4">
        <f>INDEX(products!$A$1:$G$49,MATCH($D495,products!$A$1:$A$49,0),MATCH(orders!K$1,products!$A$1:$G$1,0))</f>
        <v>0.5</v>
      </c>
      <c r="L495" s="5">
        <f>INDEX(products!$A$1:$G$49,MATCH($D495,products!$A$1:$A$49,0),MATCH(orders!L$1,products!$A$1:$G$1,0))</f>
        <v>5.97</v>
      </c>
      <c r="M495" s="5">
        <f t="shared" si="14"/>
        <v>35.82</v>
      </c>
      <c r="N495" t="str">
        <f>IF(I495="Rob","Robusta",IF(I495="Exc","Excelsa",IF(I495="Ara","Arabica",IF(I495="Lib","Liberica",""))))</f>
        <v>Robusta</v>
      </c>
      <c r="O495" t="str">
        <f t="shared" si="15"/>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INDEX(products!$A$1:$G$49,MATCH($D496,products!$A$1:$A$49,0),MATCH(orders!I$1,products!$A$1:$G$1,0))</f>
        <v>Lib</v>
      </c>
      <c r="J496" t="str">
        <f>INDEX(products!$A$1:$G$49,MATCH($D496,products!$A$1:$A$49,0),MATCH(orders!J$1,products!$A$1:$G$1,0))</f>
        <v>L</v>
      </c>
      <c r="K496" s="4">
        <f>INDEX(products!$A$1:$G$49,MATCH($D496,products!$A$1:$A$49,0),MATCH(orders!K$1,products!$A$1:$G$1,0))</f>
        <v>1</v>
      </c>
      <c r="L496" s="5">
        <f>INDEX(products!$A$1:$G$49,MATCH($D496,products!$A$1:$A$49,0),MATCH(orders!L$1,products!$A$1:$G$1,0))</f>
        <v>15.85</v>
      </c>
      <c r="M496" s="5">
        <f t="shared" si="14"/>
        <v>31.7</v>
      </c>
      <c r="N496" t="str">
        <f>IF(I496="Rob","Robusta",IF(I496="Exc","Excelsa",IF(I496="Ara","Arabica",IF(I496="Lib","Liberica",""))))</f>
        <v>Liberica</v>
      </c>
      <c r="O496" t="str">
        <f t="shared" si="15"/>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INDEX(products!$A$1:$G$49,MATCH($D497,products!$A$1:$A$49,0),MATCH(orders!I$1,products!$A$1:$G$1,0))</f>
        <v>Lib</v>
      </c>
      <c r="J497" t="str">
        <f>INDEX(products!$A$1:$G$49,MATCH($D497,products!$A$1:$A$49,0),MATCH(orders!J$1,products!$A$1:$G$1,0))</f>
        <v>L</v>
      </c>
      <c r="K497" s="4">
        <f>INDEX(products!$A$1:$G$49,MATCH($D497,products!$A$1:$A$49,0),MATCH(orders!K$1,products!$A$1:$G$1,0))</f>
        <v>1</v>
      </c>
      <c r="L497" s="5">
        <f>INDEX(products!$A$1:$G$49,MATCH($D497,products!$A$1:$A$49,0),MATCH(orders!L$1,products!$A$1:$G$1,0))</f>
        <v>15.85</v>
      </c>
      <c r="M497" s="5">
        <f t="shared" si="14"/>
        <v>79.25</v>
      </c>
      <c r="N497" t="str">
        <f>IF(I497="Rob","Robusta",IF(I497="Exc","Excelsa",IF(I497="Ara","Arabica",IF(I497="Lib","Liberica",""))))</f>
        <v>Liberica</v>
      </c>
      <c r="O497" t="str">
        <f t="shared" si="15"/>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INDEX(products!$A$1:$G$49,MATCH($D498,products!$A$1:$A$49,0),MATCH(orders!I$1,products!$A$1:$G$1,0))</f>
        <v>Exc</v>
      </c>
      <c r="J498" t="str">
        <f>INDEX(products!$A$1:$G$49,MATCH($D498,products!$A$1:$A$49,0),MATCH(orders!J$1,products!$A$1:$G$1,0))</f>
        <v>D</v>
      </c>
      <c r="K498" s="4">
        <f>INDEX(products!$A$1:$G$49,MATCH($D498,products!$A$1:$A$49,0),MATCH(orders!K$1,products!$A$1:$G$1,0))</f>
        <v>0.2</v>
      </c>
      <c r="L498" s="5">
        <f>INDEX(products!$A$1:$G$49,MATCH($D498,products!$A$1:$A$49,0),MATCH(orders!L$1,products!$A$1:$G$1,0))</f>
        <v>3.645</v>
      </c>
      <c r="M498" s="5">
        <f t="shared" si="14"/>
        <v>10.935</v>
      </c>
      <c r="N498" t="str">
        <f>IF(I498="Rob","Robusta",IF(I498="Exc","Excelsa",IF(I498="Ara","Arabica",IF(I498="Lib","Liberica",""))))</f>
        <v>Excelsa</v>
      </c>
      <c r="O498" t="str">
        <f t="shared" si="15"/>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INDEX(products!$A$1:$G$49,MATCH($D499,products!$A$1:$A$49,0),MATCH(orders!I$1,products!$A$1:$G$1,0))</f>
        <v>Ara</v>
      </c>
      <c r="J499" t="str">
        <f>INDEX(products!$A$1:$G$49,MATCH($D499,products!$A$1:$A$49,0),MATCH(orders!J$1,products!$A$1:$G$1,0))</f>
        <v>D</v>
      </c>
      <c r="K499" s="4">
        <f>INDEX(products!$A$1:$G$49,MATCH($D499,products!$A$1:$A$49,0),MATCH(orders!K$1,products!$A$1:$G$1,0))</f>
        <v>1</v>
      </c>
      <c r="L499" s="5">
        <f>INDEX(products!$A$1:$G$49,MATCH($D499,products!$A$1:$A$49,0),MATCH(orders!L$1,products!$A$1:$G$1,0))</f>
        <v>9.9499999999999993</v>
      </c>
      <c r="M499" s="5">
        <f t="shared" si="14"/>
        <v>39.799999999999997</v>
      </c>
      <c r="N499" t="str">
        <f>IF(I499="Rob","Robusta",IF(I499="Exc","Excelsa",IF(I499="Ara","Arabica",IF(I499="Lib","Liberica",""))))</f>
        <v>Arabica</v>
      </c>
      <c r="O499" t="str">
        <f t="shared" si="15"/>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INDEX(products!$A$1:$G$49,MATCH($D500,products!$A$1:$A$49,0),MATCH(orders!I$1,products!$A$1:$G$1,0))</f>
        <v>Rob</v>
      </c>
      <c r="J500" t="str">
        <f>INDEX(products!$A$1:$G$49,MATCH($D500,products!$A$1:$A$49,0),MATCH(orders!J$1,products!$A$1:$G$1,0))</f>
        <v>M</v>
      </c>
      <c r="K500" s="4">
        <f>INDEX(products!$A$1:$G$49,MATCH($D500,products!$A$1:$A$49,0),MATCH(orders!K$1,products!$A$1:$G$1,0))</f>
        <v>1</v>
      </c>
      <c r="L500" s="5">
        <f>INDEX(products!$A$1:$G$49,MATCH($D500,products!$A$1:$A$49,0),MATCH(orders!L$1,products!$A$1:$G$1,0))</f>
        <v>9.9499999999999993</v>
      </c>
      <c r="M500" s="5">
        <f t="shared" si="14"/>
        <v>49.75</v>
      </c>
      <c r="N500" t="str">
        <f>IF(I500="Rob","Robusta",IF(I500="Exc","Excelsa",IF(I500="Ara","Arabica",IF(I500="Lib","Liberica",""))))</f>
        <v>Robusta</v>
      </c>
      <c r="O500" t="str">
        <f t="shared" si="15"/>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INDEX(products!$A$1:$G$49,MATCH($D501,products!$A$1:$A$49,0),MATCH(orders!I$1,products!$A$1:$G$1,0))</f>
        <v>Rob</v>
      </c>
      <c r="J501" t="str">
        <f>INDEX(products!$A$1:$G$49,MATCH($D501,products!$A$1:$A$49,0),MATCH(orders!J$1,products!$A$1:$G$1,0))</f>
        <v>D</v>
      </c>
      <c r="K501" s="4">
        <f>INDEX(products!$A$1:$G$49,MATCH($D501,products!$A$1:$A$49,0),MATCH(orders!K$1,products!$A$1:$G$1,0))</f>
        <v>0.2</v>
      </c>
      <c r="L501" s="5">
        <f>INDEX(products!$A$1:$G$49,MATCH($D501,products!$A$1:$A$49,0),MATCH(orders!L$1,products!$A$1:$G$1,0))</f>
        <v>2.6849999999999996</v>
      </c>
      <c r="M501" s="5">
        <f t="shared" si="14"/>
        <v>8.0549999999999997</v>
      </c>
      <c r="N501" t="str">
        <f>IF(I501="Rob","Robusta",IF(I501="Exc","Excelsa",IF(I501="Ara","Arabica",IF(I501="Lib","Liberica",""))))</f>
        <v>Robusta</v>
      </c>
      <c r="O501" t="str">
        <f t="shared" si="15"/>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INDEX(products!$A$1:$G$49,MATCH($D502,products!$A$1:$A$49,0),MATCH(orders!I$1,products!$A$1:$G$1,0))</f>
        <v>Rob</v>
      </c>
      <c r="J502" t="str">
        <f>INDEX(products!$A$1:$G$49,MATCH($D502,products!$A$1:$A$49,0),MATCH(orders!J$1,products!$A$1:$G$1,0))</f>
        <v>L</v>
      </c>
      <c r="K502" s="4">
        <f>INDEX(products!$A$1:$G$49,MATCH($D502,products!$A$1:$A$49,0),MATCH(orders!K$1,products!$A$1:$G$1,0))</f>
        <v>1</v>
      </c>
      <c r="L502" s="5">
        <f>INDEX(products!$A$1:$G$49,MATCH($D502,products!$A$1:$A$49,0),MATCH(orders!L$1,products!$A$1:$G$1,0))</f>
        <v>11.95</v>
      </c>
      <c r="M502" s="5">
        <f t="shared" si="14"/>
        <v>47.8</v>
      </c>
      <c r="N502" t="str">
        <f>IF(I502="Rob","Robusta",IF(I502="Exc","Excelsa",IF(I502="Ara","Arabica",IF(I502="Lib","Liberica",""))))</f>
        <v>Robusta</v>
      </c>
      <c r="O502" t="str">
        <f t="shared" si="15"/>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INDEX(products!$A$1:$G$49,MATCH($D503,products!$A$1:$A$49,0),MATCH(orders!I$1,products!$A$1:$G$1,0))</f>
        <v>Rob</v>
      </c>
      <c r="J503" t="str">
        <f>INDEX(products!$A$1:$G$49,MATCH($D503,products!$A$1:$A$49,0),MATCH(orders!J$1,products!$A$1:$G$1,0))</f>
        <v>M</v>
      </c>
      <c r="K503" s="4">
        <f>INDEX(products!$A$1:$G$49,MATCH($D503,products!$A$1:$A$49,0),MATCH(orders!K$1,products!$A$1:$G$1,0))</f>
        <v>0.2</v>
      </c>
      <c r="L503" s="5">
        <f>INDEX(products!$A$1:$G$49,MATCH($D503,products!$A$1:$A$49,0),MATCH(orders!L$1,products!$A$1:$G$1,0))</f>
        <v>2.9849999999999999</v>
      </c>
      <c r="M503" s="5">
        <f t="shared" si="14"/>
        <v>11.94</v>
      </c>
      <c r="N503" t="str">
        <f>IF(I503="Rob","Robusta",IF(I503="Exc","Excelsa",IF(I503="Ara","Arabica",IF(I503="Lib","Liberica",""))))</f>
        <v>Robusta</v>
      </c>
      <c r="O503" t="str">
        <f t="shared" si="15"/>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INDEX(products!$A$1:$G$49,MATCH($D504,products!$A$1:$A$49,0),MATCH(orders!I$1,products!$A$1:$G$1,0))</f>
        <v>Exc</v>
      </c>
      <c r="J504" t="str">
        <f>INDEX(products!$A$1:$G$49,MATCH($D504,products!$A$1:$A$49,0),MATCH(orders!J$1,products!$A$1:$G$1,0))</f>
        <v>M</v>
      </c>
      <c r="K504" s="4">
        <f>INDEX(products!$A$1:$G$49,MATCH($D504,products!$A$1:$A$49,0),MATCH(orders!K$1,products!$A$1:$G$1,0))</f>
        <v>0.2</v>
      </c>
      <c r="L504" s="5">
        <f>INDEX(products!$A$1:$G$49,MATCH($D504,products!$A$1:$A$49,0),MATCH(orders!L$1,products!$A$1:$G$1,0))</f>
        <v>4.125</v>
      </c>
      <c r="M504" s="5">
        <f t="shared" si="14"/>
        <v>16.5</v>
      </c>
      <c r="N504" t="str">
        <f>IF(I504="Rob","Robusta",IF(I504="Exc","Excelsa",IF(I504="Ara","Arabica",IF(I504="Lib","Liberica",""))))</f>
        <v>Excelsa</v>
      </c>
      <c r="O504" t="str">
        <f t="shared" si="15"/>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INDEX(products!$A$1:$G$49,MATCH($D505,products!$A$1:$A$49,0),MATCH(orders!I$1,products!$A$1:$G$1,0))</f>
        <v>Lib</v>
      </c>
      <c r="J505" t="str">
        <f>INDEX(products!$A$1:$G$49,MATCH($D505,products!$A$1:$A$49,0),MATCH(orders!J$1,products!$A$1:$G$1,0))</f>
        <v>D</v>
      </c>
      <c r="K505" s="4">
        <f>INDEX(products!$A$1:$G$49,MATCH($D505,products!$A$1:$A$49,0),MATCH(orders!K$1,products!$A$1:$G$1,0))</f>
        <v>1</v>
      </c>
      <c r="L505" s="5">
        <f>INDEX(products!$A$1:$G$49,MATCH($D505,products!$A$1:$A$49,0),MATCH(orders!L$1,products!$A$1:$G$1,0))</f>
        <v>12.95</v>
      </c>
      <c r="M505" s="5">
        <f t="shared" si="14"/>
        <v>51.8</v>
      </c>
      <c r="N505" t="str">
        <f>IF(I505="Rob","Robusta",IF(I505="Exc","Excelsa",IF(I505="Ara","Arabica",IF(I505="Lib","Liberica",""))))</f>
        <v>Liberica</v>
      </c>
      <c r="O505" t="str">
        <f t="shared" si="15"/>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INDEX(products!$A$1:$G$49,MATCH($D506,products!$A$1:$A$49,0),MATCH(orders!I$1,products!$A$1:$G$1,0))</f>
        <v>Lib</v>
      </c>
      <c r="J506" t="str">
        <f>INDEX(products!$A$1:$G$49,MATCH($D506,products!$A$1:$A$49,0),MATCH(orders!J$1,products!$A$1:$G$1,0))</f>
        <v>L</v>
      </c>
      <c r="K506" s="4">
        <f>INDEX(products!$A$1:$G$49,MATCH($D506,products!$A$1:$A$49,0),MATCH(orders!K$1,products!$A$1:$G$1,0))</f>
        <v>0.2</v>
      </c>
      <c r="L506" s="5">
        <f>INDEX(products!$A$1:$G$49,MATCH($D506,products!$A$1:$A$49,0),MATCH(orders!L$1,products!$A$1:$G$1,0))</f>
        <v>4.7549999999999999</v>
      </c>
      <c r="M506" s="5">
        <f t="shared" si="14"/>
        <v>14.265000000000001</v>
      </c>
      <c r="N506" t="str">
        <f>IF(I506="Rob","Robusta",IF(I506="Exc","Excelsa",IF(I506="Ara","Arabica",IF(I506="Lib","Liberica",""))))</f>
        <v>Liberica</v>
      </c>
      <c r="O506" t="str">
        <f t="shared" si="15"/>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INDEX(products!$A$1:$G$49,MATCH($D507,products!$A$1:$A$49,0),MATCH(orders!I$1,products!$A$1:$G$1,0))</f>
        <v>Lib</v>
      </c>
      <c r="J507" t="str">
        <f>INDEX(products!$A$1:$G$49,MATCH($D507,products!$A$1:$A$49,0),MATCH(orders!J$1,products!$A$1:$G$1,0))</f>
        <v>M</v>
      </c>
      <c r="K507" s="4">
        <f>INDEX(products!$A$1:$G$49,MATCH($D507,products!$A$1:$A$49,0),MATCH(orders!K$1,products!$A$1:$G$1,0))</f>
        <v>0.2</v>
      </c>
      <c r="L507" s="5">
        <f>INDEX(products!$A$1:$G$49,MATCH($D507,products!$A$1:$A$49,0),MATCH(orders!L$1,products!$A$1:$G$1,0))</f>
        <v>4.3650000000000002</v>
      </c>
      <c r="M507" s="5">
        <f t="shared" si="14"/>
        <v>26.19</v>
      </c>
      <c r="N507" t="str">
        <f>IF(I507="Rob","Robusta",IF(I507="Exc","Excelsa",IF(I507="Ara","Arabica",IF(I507="Lib","Liberica",""))))</f>
        <v>Liberica</v>
      </c>
      <c r="O507" t="str">
        <f t="shared" si="15"/>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INDEX(products!$A$1:$G$49,MATCH($D508,products!$A$1:$A$49,0),MATCH(orders!I$1,products!$A$1:$G$1,0))</f>
        <v>Ara</v>
      </c>
      <c r="J508" t="str">
        <f>INDEX(products!$A$1:$G$49,MATCH($D508,products!$A$1:$A$49,0),MATCH(orders!J$1,products!$A$1:$G$1,0))</f>
        <v>L</v>
      </c>
      <c r="K508" s="4">
        <f>INDEX(products!$A$1:$G$49,MATCH($D508,products!$A$1:$A$49,0),MATCH(orders!K$1,products!$A$1:$G$1,0))</f>
        <v>1</v>
      </c>
      <c r="L508" s="5">
        <f>INDEX(products!$A$1:$G$49,MATCH($D508,products!$A$1:$A$49,0),MATCH(orders!L$1,products!$A$1:$G$1,0))</f>
        <v>12.95</v>
      </c>
      <c r="M508" s="5">
        <f t="shared" si="14"/>
        <v>25.9</v>
      </c>
      <c r="N508" t="str">
        <f>IF(I508="Rob","Robusta",IF(I508="Exc","Excelsa",IF(I508="Ara","Arabica",IF(I508="Lib","Liberica",""))))</f>
        <v>Arabica</v>
      </c>
      <c r="O508" t="str">
        <f t="shared" si="15"/>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INDEX(products!$A$1:$G$49,MATCH($D509,products!$A$1:$A$49,0),MATCH(orders!I$1,products!$A$1:$G$1,0))</f>
        <v>Ara</v>
      </c>
      <c r="J509" t="str">
        <f>INDEX(products!$A$1:$G$49,MATCH($D509,products!$A$1:$A$49,0),MATCH(orders!J$1,products!$A$1:$G$1,0))</f>
        <v>L</v>
      </c>
      <c r="K509" s="4">
        <f>INDEX(products!$A$1:$G$49,MATCH($D509,products!$A$1:$A$49,0),MATCH(orders!K$1,products!$A$1:$G$1,0))</f>
        <v>2.5</v>
      </c>
      <c r="L509" s="5">
        <f>INDEX(products!$A$1:$G$49,MATCH($D509,products!$A$1:$A$49,0),MATCH(orders!L$1,products!$A$1:$G$1,0))</f>
        <v>29.784999999999997</v>
      </c>
      <c r="M509" s="5">
        <f t="shared" si="14"/>
        <v>89.35499999999999</v>
      </c>
      <c r="N509" t="str">
        <f>IF(I509="Rob","Robusta",IF(I509="Exc","Excelsa",IF(I509="Ara","Arabica",IF(I509="Lib","Liberica",""))))</f>
        <v>Arabica</v>
      </c>
      <c r="O509" t="str">
        <f t="shared" si="15"/>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INDEX(products!$A$1:$G$49,MATCH($D510,products!$A$1:$A$49,0),MATCH(orders!I$1,products!$A$1:$G$1,0))</f>
        <v>Lib</v>
      </c>
      <c r="J510" t="str">
        <f>INDEX(products!$A$1:$G$49,MATCH($D510,products!$A$1:$A$49,0),MATCH(orders!J$1,products!$A$1:$G$1,0))</f>
        <v>D</v>
      </c>
      <c r="K510" s="4">
        <f>INDEX(products!$A$1:$G$49,MATCH($D510,products!$A$1:$A$49,0),MATCH(orders!K$1,products!$A$1:$G$1,0))</f>
        <v>0.5</v>
      </c>
      <c r="L510" s="5">
        <f>INDEX(products!$A$1:$G$49,MATCH($D510,products!$A$1:$A$49,0),MATCH(orders!L$1,products!$A$1:$G$1,0))</f>
        <v>7.77</v>
      </c>
      <c r="M510" s="5">
        <f t="shared" si="14"/>
        <v>46.62</v>
      </c>
      <c r="N510" t="str">
        <f>IF(I510="Rob","Robusta",IF(I510="Exc","Excelsa",IF(I510="Ara","Arabica",IF(I510="Lib","Liberica",""))))</f>
        <v>Liberica</v>
      </c>
      <c r="O510" t="str">
        <f t="shared" si="15"/>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INDEX(products!$A$1:$G$49,MATCH($D511,products!$A$1:$A$49,0),MATCH(orders!I$1,products!$A$1:$G$1,0))</f>
        <v>Ara</v>
      </c>
      <c r="J511" t="str">
        <f>INDEX(products!$A$1:$G$49,MATCH($D511,products!$A$1:$A$49,0),MATCH(orders!J$1,products!$A$1:$G$1,0))</f>
        <v>D</v>
      </c>
      <c r="K511" s="4">
        <f>INDEX(products!$A$1:$G$49,MATCH($D511,products!$A$1:$A$49,0),MATCH(orders!K$1,products!$A$1:$G$1,0))</f>
        <v>1</v>
      </c>
      <c r="L511" s="5">
        <f>INDEX(products!$A$1:$G$49,MATCH($D511,products!$A$1:$A$49,0),MATCH(orders!L$1,products!$A$1:$G$1,0))</f>
        <v>9.9499999999999993</v>
      </c>
      <c r="M511" s="5">
        <f t="shared" si="14"/>
        <v>29.849999999999998</v>
      </c>
      <c r="N511" t="str">
        <f>IF(I511="Rob","Robusta",IF(I511="Exc","Excelsa",IF(I511="Ara","Arabica",IF(I511="Lib","Liberica",""))))</f>
        <v>Arabica</v>
      </c>
      <c r="O511" t="str">
        <f t="shared" si="15"/>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INDEX(products!$A$1:$G$49,MATCH($D512,products!$A$1:$A$49,0),MATCH(orders!I$1,products!$A$1:$G$1,0))</f>
        <v>Rob</v>
      </c>
      <c r="J512" t="str">
        <f>INDEX(products!$A$1:$G$49,MATCH($D512,products!$A$1:$A$49,0),MATCH(orders!J$1,products!$A$1:$G$1,0))</f>
        <v>L</v>
      </c>
      <c r="K512" s="4">
        <f>INDEX(products!$A$1:$G$49,MATCH($D512,products!$A$1:$A$49,0),MATCH(orders!K$1,products!$A$1:$G$1,0))</f>
        <v>0.2</v>
      </c>
      <c r="L512" s="5">
        <f>INDEX(products!$A$1:$G$49,MATCH($D512,products!$A$1:$A$49,0),MATCH(orders!L$1,products!$A$1:$G$1,0))</f>
        <v>3.5849999999999995</v>
      </c>
      <c r="M512" s="5">
        <f t="shared" si="14"/>
        <v>10.754999999999999</v>
      </c>
      <c r="N512" t="str">
        <f>IF(I512="Rob","Robusta",IF(I512="Exc","Excelsa",IF(I512="Ara","Arabica",IF(I512="Lib","Liberica",""))))</f>
        <v>Robusta</v>
      </c>
      <c r="O512" t="str">
        <f t="shared" si="15"/>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INDEX(products!$A$1:$G$49,MATCH($D513,products!$A$1:$A$49,0),MATCH(orders!I$1,products!$A$1:$G$1,0))</f>
        <v>Ara</v>
      </c>
      <c r="J513" t="str">
        <f>INDEX(products!$A$1:$G$49,MATCH($D513,products!$A$1:$A$49,0),MATCH(orders!J$1,products!$A$1:$G$1,0))</f>
        <v>M</v>
      </c>
      <c r="K513" s="4">
        <f>INDEX(products!$A$1:$G$49,MATCH($D513,products!$A$1:$A$49,0),MATCH(orders!K$1,products!$A$1:$G$1,0))</f>
        <v>0.2</v>
      </c>
      <c r="L513" s="5">
        <f>INDEX(products!$A$1:$G$49,MATCH($D513,products!$A$1:$A$49,0),MATCH(orders!L$1,products!$A$1:$G$1,0))</f>
        <v>3.375</v>
      </c>
      <c r="M513" s="5">
        <f t="shared" si="14"/>
        <v>13.5</v>
      </c>
      <c r="N513" t="str">
        <f>IF(I513="Rob","Robusta",IF(I513="Exc","Excelsa",IF(I513="Ara","Arabica",IF(I513="Lib","Liberica",""))))</f>
        <v>Arabica</v>
      </c>
      <c r="O513" t="str">
        <f t="shared" si="15"/>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INDEX(products!$A$1:$G$49,MATCH($D514,products!$A$1:$A$49,0),MATCH(orders!I$1,products!$A$1:$G$1,0))</f>
        <v>Lib</v>
      </c>
      <c r="J514" t="str">
        <f>INDEX(products!$A$1:$G$49,MATCH($D514,products!$A$1:$A$49,0),MATCH(orders!J$1,products!$A$1:$G$1,0))</f>
        <v>L</v>
      </c>
      <c r="K514" s="4">
        <f>INDEX(products!$A$1:$G$49,MATCH($D514,products!$A$1:$A$49,0),MATCH(orders!K$1,products!$A$1:$G$1,0))</f>
        <v>1</v>
      </c>
      <c r="L514" s="5">
        <f>INDEX(products!$A$1:$G$49,MATCH($D514,products!$A$1:$A$49,0),MATCH(orders!L$1,products!$A$1:$G$1,0))</f>
        <v>15.85</v>
      </c>
      <c r="M514" s="5">
        <f t="shared" si="14"/>
        <v>47.55</v>
      </c>
      <c r="N514" t="str">
        <f>IF(I514="Rob","Robusta",IF(I514="Exc","Excelsa",IF(I514="Ara","Arabica",IF(I514="Lib","Liberica",""))))</f>
        <v>Liberica</v>
      </c>
      <c r="O514" t="str">
        <f t="shared" si="15"/>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INDEX(products!$A$1:$G$49,MATCH($D515,products!$A$1:$A$49,0),MATCH(orders!I$1,products!$A$1:$G$1,0))</f>
        <v>Lib</v>
      </c>
      <c r="J515" t="str">
        <f>INDEX(products!$A$1:$G$49,MATCH($D515,products!$A$1:$A$49,0),MATCH(orders!J$1,products!$A$1:$G$1,0))</f>
        <v>L</v>
      </c>
      <c r="K515" s="4">
        <f>INDEX(products!$A$1:$G$49,MATCH($D515,products!$A$1:$A$49,0),MATCH(orders!K$1,products!$A$1:$G$1,0))</f>
        <v>1</v>
      </c>
      <c r="L515" s="5">
        <f>INDEX(products!$A$1:$G$49,MATCH($D515,products!$A$1:$A$49,0),MATCH(orders!L$1,products!$A$1:$G$1,0))</f>
        <v>15.85</v>
      </c>
      <c r="M515" s="5">
        <f t="shared" ref="M515:M578" si="16">L515*E515</f>
        <v>79.25</v>
      </c>
      <c r="N515" t="str">
        <f>IF(I515="Rob","Robusta",IF(I515="Exc","Excelsa",IF(I515="Ara","Arabica",IF(I515="Lib","Liberica",""))))</f>
        <v>Liberica</v>
      </c>
      <c r="O515" t="str">
        <f t="shared" ref="O515:O578" si="17">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INDEX(products!$A$1:$G$49,MATCH($D516,products!$A$1:$A$49,0),MATCH(orders!I$1,products!$A$1:$G$1,0))</f>
        <v>Lib</v>
      </c>
      <c r="J516" t="str">
        <f>INDEX(products!$A$1:$G$49,MATCH($D516,products!$A$1:$A$49,0),MATCH(orders!J$1,products!$A$1:$G$1,0))</f>
        <v>M</v>
      </c>
      <c r="K516" s="4">
        <f>INDEX(products!$A$1:$G$49,MATCH($D516,products!$A$1:$A$49,0),MATCH(orders!K$1,products!$A$1:$G$1,0))</f>
        <v>0.2</v>
      </c>
      <c r="L516" s="5">
        <f>INDEX(products!$A$1:$G$49,MATCH($D516,products!$A$1:$A$49,0),MATCH(orders!L$1,products!$A$1:$G$1,0))</f>
        <v>4.3650000000000002</v>
      </c>
      <c r="M516" s="5">
        <f t="shared" si="16"/>
        <v>26.19</v>
      </c>
      <c r="N516" t="str">
        <f>IF(I516="Rob","Robusta",IF(I516="Exc","Excelsa",IF(I516="Ara","Arabica",IF(I516="Lib","Liberica",""))))</f>
        <v>Liberica</v>
      </c>
      <c r="O516" t="str">
        <f t="shared" si="17"/>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INDEX(products!$A$1:$G$49,MATCH($D517,products!$A$1:$A$49,0),MATCH(orders!I$1,products!$A$1:$G$1,0))</f>
        <v>Rob</v>
      </c>
      <c r="J517" t="str">
        <f>INDEX(products!$A$1:$G$49,MATCH($D517,products!$A$1:$A$49,0),MATCH(orders!J$1,products!$A$1:$G$1,0))</f>
        <v>L</v>
      </c>
      <c r="K517" s="4">
        <f>INDEX(products!$A$1:$G$49,MATCH($D517,products!$A$1:$A$49,0),MATCH(orders!K$1,products!$A$1:$G$1,0))</f>
        <v>0.5</v>
      </c>
      <c r="L517" s="5">
        <f>INDEX(products!$A$1:$G$49,MATCH($D517,products!$A$1:$A$49,0),MATCH(orders!L$1,products!$A$1:$G$1,0))</f>
        <v>7.169999999999999</v>
      </c>
      <c r="M517" s="5">
        <f t="shared" si="16"/>
        <v>21.509999999999998</v>
      </c>
      <c r="N517" t="str">
        <f>IF(I517="Rob","Robusta",IF(I517="Exc","Excelsa",IF(I517="Ara","Arabica",IF(I517="Lib","Liberica",""))))</f>
        <v>Robusta</v>
      </c>
      <c r="O517" t="str">
        <f t="shared" si="17"/>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INDEX(products!$A$1:$G$49,MATCH($D518,products!$A$1:$A$49,0),MATCH(orders!I$1,products!$A$1:$G$1,0))</f>
        <v>Rob</v>
      </c>
      <c r="J518" t="str">
        <f>INDEX(products!$A$1:$G$49,MATCH($D518,products!$A$1:$A$49,0),MATCH(orders!J$1,products!$A$1:$G$1,0))</f>
        <v>D</v>
      </c>
      <c r="K518" s="4">
        <f>INDEX(products!$A$1:$G$49,MATCH($D518,products!$A$1:$A$49,0),MATCH(orders!K$1,products!$A$1:$G$1,0))</f>
        <v>2.5</v>
      </c>
      <c r="L518" s="5">
        <f>INDEX(products!$A$1:$G$49,MATCH($D518,products!$A$1:$A$49,0),MATCH(orders!L$1,products!$A$1:$G$1,0))</f>
        <v>20.584999999999997</v>
      </c>
      <c r="M518" s="5">
        <f t="shared" si="16"/>
        <v>102.92499999999998</v>
      </c>
      <c r="N518" t="str">
        <f>IF(I518="Rob","Robusta",IF(I518="Exc","Excelsa",IF(I518="Ara","Arabica",IF(I518="Lib","Liberica",""))))</f>
        <v>Robusta</v>
      </c>
      <c r="O518" t="str">
        <f t="shared" si="17"/>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INDEX(products!$A$1:$G$49,MATCH($D519,products!$A$1:$A$49,0),MATCH(orders!I$1,products!$A$1:$G$1,0))</f>
        <v>Lib</v>
      </c>
      <c r="J519" t="str">
        <f>INDEX(products!$A$1:$G$49,MATCH($D519,products!$A$1:$A$49,0),MATCH(orders!J$1,products!$A$1:$G$1,0))</f>
        <v>D</v>
      </c>
      <c r="K519" s="4">
        <f>INDEX(products!$A$1:$G$49,MATCH($D519,products!$A$1:$A$49,0),MATCH(orders!K$1,products!$A$1:$G$1,0))</f>
        <v>0.2</v>
      </c>
      <c r="L519" s="5">
        <f>INDEX(products!$A$1:$G$49,MATCH($D519,products!$A$1:$A$49,0),MATCH(orders!L$1,products!$A$1:$G$1,0))</f>
        <v>3.8849999999999998</v>
      </c>
      <c r="M519" s="5">
        <f t="shared" si="16"/>
        <v>7.77</v>
      </c>
      <c r="N519" t="str">
        <f>IF(I519="Rob","Robusta",IF(I519="Exc","Excelsa",IF(I519="Ara","Arabica",IF(I519="Lib","Liberica",""))))</f>
        <v>Liberica</v>
      </c>
      <c r="O519" t="str">
        <f t="shared" si="17"/>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INDEX(products!$A$1:$G$49,MATCH($D520,products!$A$1:$A$49,0),MATCH(orders!I$1,products!$A$1:$G$1,0))</f>
        <v>Exc</v>
      </c>
      <c r="J520" t="str">
        <f>INDEX(products!$A$1:$G$49,MATCH($D520,products!$A$1:$A$49,0),MATCH(orders!J$1,products!$A$1:$G$1,0))</f>
        <v>D</v>
      </c>
      <c r="K520" s="4">
        <f>INDEX(products!$A$1:$G$49,MATCH($D520,products!$A$1:$A$49,0),MATCH(orders!K$1,products!$A$1:$G$1,0))</f>
        <v>2.5</v>
      </c>
      <c r="L520" s="5">
        <f>INDEX(products!$A$1:$G$49,MATCH($D520,products!$A$1:$A$49,0),MATCH(orders!L$1,products!$A$1:$G$1,0))</f>
        <v>27.945</v>
      </c>
      <c r="M520" s="5">
        <f t="shared" si="16"/>
        <v>139.72499999999999</v>
      </c>
      <c r="N520" t="str">
        <f>IF(I520="Rob","Robusta",IF(I520="Exc","Excelsa",IF(I520="Ara","Arabica",IF(I520="Lib","Liberica",""))))</f>
        <v>Excelsa</v>
      </c>
      <c r="O520" t="str">
        <f t="shared" si="17"/>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INDEX(products!$A$1:$G$49,MATCH($D521,products!$A$1:$A$49,0),MATCH(orders!I$1,products!$A$1:$G$1,0))</f>
        <v>Ara</v>
      </c>
      <c r="J521" t="str">
        <f>INDEX(products!$A$1:$G$49,MATCH($D521,products!$A$1:$A$49,0),MATCH(orders!J$1,products!$A$1:$G$1,0))</f>
        <v>D</v>
      </c>
      <c r="K521" s="4">
        <f>INDEX(products!$A$1:$G$49,MATCH($D521,products!$A$1:$A$49,0),MATCH(orders!K$1,products!$A$1:$G$1,0))</f>
        <v>0.5</v>
      </c>
      <c r="L521" s="5">
        <f>INDEX(products!$A$1:$G$49,MATCH($D521,products!$A$1:$A$49,0),MATCH(orders!L$1,products!$A$1:$G$1,0))</f>
        <v>5.97</v>
      </c>
      <c r="M521" s="5">
        <f t="shared" si="16"/>
        <v>11.94</v>
      </c>
      <c r="N521" t="str">
        <f>IF(I521="Rob","Robusta",IF(I521="Exc","Excelsa",IF(I521="Ara","Arabica",IF(I521="Lib","Liberica",""))))</f>
        <v>Arabica</v>
      </c>
      <c r="O521" t="str">
        <f t="shared" si="17"/>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INDEX(products!$A$1:$G$49,MATCH($D522,products!$A$1:$A$49,0),MATCH(orders!I$1,products!$A$1:$G$1,0))</f>
        <v>Lib</v>
      </c>
      <c r="J522" t="str">
        <f>INDEX(products!$A$1:$G$49,MATCH($D522,products!$A$1:$A$49,0),MATCH(orders!J$1,products!$A$1:$G$1,0))</f>
        <v>D</v>
      </c>
      <c r="K522" s="4">
        <f>INDEX(products!$A$1:$G$49,MATCH($D522,products!$A$1:$A$49,0),MATCH(orders!K$1,products!$A$1:$G$1,0))</f>
        <v>0.2</v>
      </c>
      <c r="L522" s="5">
        <f>INDEX(products!$A$1:$G$49,MATCH($D522,products!$A$1:$A$49,0),MATCH(orders!L$1,products!$A$1:$G$1,0))</f>
        <v>3.8849999999999998</v>
      </c>
      <c r="M522" s="5">
        <f t="shared" si="16"/>
        <v>3.8849999999999998</v>
      </c>
      <c r="N522" t="str">
        <f>IF(I522="Rob","Robusta",IF(I522="Exc","Excelsa",IF(I522="Ara","Arabica",IF(I522="Lib","Liberica",""))))</f>
        <v>Liberica</v>
      </c>
      <c r="O522" t="str">
        <f t="shared" si="17"/>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INDEX(products!$A$1:$G$49,MATCH($D523,products!$A$1:$A$49,0),MATCH(orders!I$1,products!$A$1:$G$1,0))</f>
        <v>Rob</v>
      </c>
      <c r="J523" t="str">
        <f>INDEX(products!$A$1:$G$49,MATCH($D523,products!$A$1:$A$49,0),MATCH(orders!J$1,products!$A$1:$G$1,0))</f>
        <v>M</v>
      </c>
      <c r="K523" s="4">
        <f>INDEX(products!$A$1:$G$49,MATCH($D523,products!$A$1:$A$49,0),MATCH(orders!K$1,products!$A$1:$G$1,0))</f>
        <v>1</v>
      </c>
      <c r="L523" s="5">
        <f>INDEX(products!$A$1:$G$49,MATCH($D523,products!$A$1:$A$49,0),MATCH(orders!L$1,products!$A$1:$G$1,0))</f>
        <v>9.9499999999999993</v>
      </c>
      <c r="M523" s="5">
        <f t="shared" si="16"/>
        <v>39.799999999999997</v>
      </c>
      <c r="N523" t="str">
        <f>IF(I523="Rob","Robusta",IF(I523="Exc","Excelsa",IF(I523="Ara","Arabica",IF(I523="Lib","Liberica",""))))</f>
        <v>Robusta</v>
      </c>
      <c r="O523" t="str">
        <f t="shared" si="17"/>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INDEX(products!$A$1:$G$49,MATCH($D524,products!$A$1:$A$49,0),MATCH(orders!I$1,products!$A$1:$G$1,0))</f>
        <v>Rob</v>
      </c>
      <c r="J524" t="str">
        <f>INDEX(products!$A$1:$G$49,MATCH($D524,products!$A$1:$A$49,0),MATCH(orders!J$1,products!$A$1:$G$1,0))</f>
        <v>M</v>
      </c>
      <c r="K524" s="4">
        <f>INDEX(products!$A$1:$G$49,MATCH($D524,products!$A$1:$A$49,0),MATCH(orders!K$1,products!$A$1:$G$1,0))</f>
        <v>0.5</v>
      </c>
      <c r="L524" s="5">
        <f>INDEX(products!$A$1:$G$49,MATCH($D524,products!$A$1:$A$49,0),MATCH(orders!L$1,products!$A$1:$G$1,0))</f>
        <v>5.97</v>
      </c>
      <c r="M524" s="5">
        <f t="shared" si="16"/>
        <v>29.849999999999998</v>
      </c>
      <c r="N524" t="str">
        <f>IF(I524="Rob","Robusta",IF(I524="Exc","Excelsa",IF(I524="Ara","Arabica",IF(I524="Lib","Liberica",""))))</f>
        <v>Robusta</v>
      </c>
      <c r="O524" t="str">
        <f t="shared" si="17"/>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INDEX(products!$A$1:$G$49,MATCH($D525,products!$A$1:$A$49,0),MATCH(orders!I$1,products!$A$1:$G$1,0))</f>
        <v>Lib</v>
      </c>
      <c r="J525" t="str">
        <f>INDEX(products!$A$1:$G$49,MATCH($D525,products!$A$1:$A$49,0),MATCH(orders!J$1,products!$A$1:$G$1,0))</f>
        <v>D</v>
      </c>
      <c r="K525" s="4">
        <f>INDEX(products!$A$1:$G$49,MATCH($D525,products!$A$1:$A$49,0),MATCH(orders!K$1,products!$A$1:$G$1,0))</f>
        <v>2.5</v>
      </c>
      <c r="L525" s="5">
        <f>INDEX(products!$A$1:$G$49,MATCH($D525,products!$A$1:$A$49,0),MATCH(orders!L$1,products!$A$1:$G$1,0))</f>
        <v>29.784999999999997</v>
      </c>
      <c r="M525" s="5">
        <f t="shared" si="16"/>
        <v>29.784999999999997</v>
      </c>
      <c r="N525" t="str">
        <f>IF(I525="Rob","Robusta",IF(I525="Exc","Excelsa",IF(I525="Ara","Arabica",IF(I525="Lib","Liberica",""))))</f>
        <v>Liberica</v>
      </c>
      <c r="O525" t="str">
        <f t="shared" si="17"/>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INDEX(products!$A$1:$G$49,MATCH($D526,products!$A$1:$A$49,0),MATCH(orders!I$1,products!$A$1:$G$1,0))</f>
        <v>Lib</v>
      </c>
      <c r="J526" t="str">
        <f>INDEX(products!$A$1:$G$49,MATCH($D526,products!$A$1:$A$49,0),MATCH(orders!J$1,products!$A$1:$G$1,0))</f>
        <v>L</v>
      </c>
      <c r="K526" s="4">
        <f>INDEX(products!$A$1:$G$49,MATCH($D526,products!$A$1:$A$49,0),MATCH(orders!K$1,products!$A$1:$G$1,0))</f>
        <v>2.5</v>
      </c>
      <c r="L526" s="5">
        <f>INDEX(products!$A$1:$G$49,MATCH($D526,products!$A$1:$A$49,0),MATCH(orders!L$1,products!$A$1:$G$1,0))</f>
        <v>36.454999999999998</v>
      </c>
      <c r="M526" s="5">
        <f t="shared" si="16"/>
        <v>72.91</v>
      </c>
      <c r="N526" t="str">
        <f>IF(I526="Rob","Robusta",IF(I526="Exc","Excelsa",IF(I526="Ara","Arabica",IF(I526="Lib","Liberica",""))))</f>
        <v>Liberica</v>
      </c>
      <c r="O526" t="str">
        <f t="shared" si="17"/>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INDEX(products!$A$1:$G$49,MATCH($D527,products!$A$1:$A$49,0),MATCH(orders!I$1,products!$A$1:$G$1,0))</f>
        <v>Rob</v>
      </c>
      <c r="J527" t="str">
        <f>INDEX(products!$A$1:$G$49,MATCH($D527,products!$A$1:$A$49,0),MATCH(orders!J$1,products!$A$1:$G$1,0))</f>
        <v>D</v>
      </c>
      <c r="K527" s="4">
        <f>INDEX(products!$A$1:$G$49,MATCH($D527,products!$A$1:$A$49,0),MATCH(orders!K$1,products!$A$1:$G$1,0))</f>
        <v>0.2</v>
      </c>
      <c r="L527" s="5">
        <f>INDEX(products!$A$1:$G$49,MATCH($D527,products!$A$1:$A$49,0),MATCH(orders!L$1,products!$A$1:$G$1,0))</f>
        <v>2.6849999999999996</v>
      </c>
      <c r="M527" s="5">
        <f t="shared" si="16"/>
        <v>13.424999999999997</v>
      </c>
      <c r="N527" t="str">
        <f>IF(I527="Rob","Robusta",IF(I527="Exc","Excelsa",IF(I527="Ara","Arabica",IF(I527="Lib","Liberica",""))))</f>
        <v>Robusta</v>
      </c>
      <c r="O527" t="str">
        <f t="shared" si="17"/>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INDEX(products!$A$1:$G$49,MATCH($D528,products!$A$1:$A$49,0),MATCH(orders!I$1,products!$A$1:$G$1,0))</f>
        <v>Exc</v>
      </c>
      <c r="J528" t="str">
        <f>INDEX(products!$A$1:$G$49,MATCH($D528,products!$A$1:$A$49,0),MATCH(orders!J$1,products!$A$1:$G$1,0))</f>
        <v>M</v>
      </c>
      <c r="K528" s="4">
        <f>INDEX(products!$A$1:$G$49,MATCH($D528,products!$A$1:$A$49,0),MATCH(orders!K$1,products!$A$1:$G$1,0))</f>
        <v>2.5</v>
      </c>
      <c r="L528" s="5">
        <f>INDEX(products!$A$1:$G$49,MATCH($D528,products!$A$1:$A$49,0),MATCH(orders!L$1,products!$A$1:$G$1,0))</f>
        <v>31.624999999999996</v>
      </c>
      <c r="M528" s="5">
        <f t="shared" si="16"/>
        <v>126.49999999999999</v>
      </c>
      <c r="N528" t="str">
        <f>IF(I528="Rob","Robusta",IF(I528="Exc","Excelsa",IF(I528="Ara","Arabica",IF(I528="Lib","Liberica",""))))</f>
        <v>Excelsa</v>
      </c>
      <c r="O528" t="str">
        <f t="shared" si="17"/>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INDEX(products!$A$1:$G$49,MATCH($D529,products!$A$1:$A$49,0),MATCH(orders!I$1,products!$A$1:$G$1,0))</f>
        <v>Exc</v>
      </c>
      <c r="J529" t="str">
        <f>INDEX(products!$A$1:$G$49,MATCH($D529,products!$A$1:$A$49,0),MATCH(orders!J$1,products!$A$1:$G$1,0))</f>
        <v>M</v>
      </c>
      <c r="K529" s="4">
        <f>INDEX(products!$A$1:$G$49,MATCH($D529,products!$A$1:$A$49,0),MATCH(orders!K$1,products!$A$1:$G$1,0))</f>
        <v>0.5</v>
      </c>
      <c r="L529" s="5">
        <f>INDEX(products!$A$1:$G$49,MATCH($D529,products!$A$1:$A$49,0),MATCH(orders!L$1,products!$A$1:$G$1,0))</f>
        <v>8.25</v>
      </c>
      <c r="M529" s="5">
        <f t="shared" si="16"/>
        <v>41.25</v>
      </c>
      <c r="N529" t="str">
        <f>IF(I529="Rob","Robusta",IF(I529="Exc","Excelsa",IF(I529="Ara","Arabica",IF(I529="Lib","Liberica",""))))</f>
        <v>Excelsa</v>
      </c>
      <c r="O529" t="str">
        <f t="shared" si="17"/>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INDEX(products!$A$1:$G$49,MATCH($D530,products!$A$1:$A$49,0),MATCH(orders!I$1,products!$A$1:$G$1,0))</f>
        <v>Exc</v>
      </c>
      <c r="J530" t="str">
        <f>INDEX(products!$A$1:$G$49,MATCH($D530,products!$A$1:$A$49,0),MATCH(orders!J$1,products!$A$1:$G$1,0))</f>
        <v>L</v>
      </c>
      <c r="K530" s="4">
        <f>INDEX(products!$A$1:$G$49,MATCH($D530,products!$A$1:$A$49,0),MATCH(orders!K$1,products!$A$1:$G$1,0))</f>
        <v>0.5</v>
      </c>
      <c r="L530" s="5">
        <f>INDEX(products!$A$1:$G$49,MATCH($D530,products!$A$1:$A$49,0),MATCH(orders!L$1,products!$A$1:$G$1,0))</f>
        <v>8.91</v>
      </c>
      <c r="M530" s="5">
        <f t="shared" si="16"/>
        <v>53.46</v>
      </c>
      <c r="N530" t="str">
        <f>IF(I530="Rob","Robusta",IF(I530="Exc","Excelsa",IF(I530="Ara","Arabica",IF(I530="Lib","Liberica",""))))</f>
        <v>Excelsa</v>
      </c>
      <c r="O530" t="str">
        <f t="shared" si="17"/>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INDEX(products!$A$1:$G$49,MATCH($D531,products!$A$1:$A$49,0),MATCH(orders!I$1,products!$A$1:$G$1,0))</f>
        <v>Rob</v>
      </c>
      <c r="J531" t="str">
        <f>INDEX(products!$A$1:$G$49,MATCH($D531,products!$A$1:$A$49,0),MATCH(orders!J$1,products!$A$1:$G$1,0))</f>
        <v>M</v>
      </c>
      <c r="K531" s="4">
        <f>INDEX(products!$A$1:$G$49,MATCH($D531,products!$A$1:$A$49,0),MATCH(orders!K$1,products!$A$1:$G$1,0))</f>
        <v>1</v>
      </c>
      <c r="L531" s="5">
        <f>INDEX(products!$A$1:$G$49,MATCH($D531,products!$A$1:$A$49,0),MATCH(orders!L$1,products!$A$1:$G$1,0))</f>
        <v>9.9499999999999993</v>
      </c>
      <c r="M531" s="5">
        <f t="shared" si="16"/>
        <v>59.699999999999996</v>
      </c>
      <c r="N531" t="str">
        <f>IF(I531="Rob","Robusta",IF(I531="Exc","Excelsa",IF(I531="Ara","Arabica",IF(I531="Lib","Liberica",""))))</f>
        <v>Robusta</v>
      </c>
      <c r="O531" t="str">
        <f t="shared" si="17"/>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INDEX(products!$A$1:$G$49,MATCH($D532,products!$A$1:$A$49,0),MATCH(orders!I$1,products!$A$1:$G$1,0))</f>
        <v>Rob</v>
      </c>
      <c r="J532" t="str">
        <f>INDEX(products!$A$1:$G$49,MATCH($D532,products!$A$1:$A$49,0),MATCH(orders!J$1,products!$A$1:$G$1,0))</f>
        <v>M</v>
      </c>
      <c r="K532" s="4">
        <f>INDEX(products!$A$1:$G$49,MATCH($D532,products!$A$1:$A$49,0),MATCH(orders!K$1,products!$A$1:$G$1,0))</f>
        <v>1</v>
      </c>
      <c r="L532" s="5">
        <f>INDEX(products!$A$1:$G$49,MATCH($D532,products!$A$1:$A$49,0),MATCH(orders!L$1,products!$A$1:$G$1,0))</f>
        <v>9.9499999999999993</v>
      </c>
      <c r="M532" s="5">
        <f t="shared" si="16"/>
        <v>59.699999999999996</v>
      </c>
      <c r="N532" t="str">
        <f>IF(I532="Rob","Robusta",IF(I532="Exc","Excelsa",IF(I532="Ara","Arabica",IF(I532="Lib","Liberica",""))))</f>
        <v>Robusta</v>
      </c>
      <c r="O532" t="str">
        <f t="shared" si="17"/>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INDEX(products!$A$1:$G$49,MATCH($D533,products!$A$1:$A$49,0),MATCH(orders!I$1,products!$A$1:$G$1,0))</f>
        <v>Rob</v>
      </c>
      <c r="J533" t="str">
        <f>INDEX(products!$A$1:$G$49,MATCH($D533,products!$A$1:$A$49,0),MATCH(orders!J$1,products!$A$1:$G$1,0))</f>
        <v>D</v>
      </c>
      <c r="K533" s="4">
        <f>INDEX(products!$A$1:$G$49,MATCH($D533,products!$A$1:$A$49,0),MATCH(orders!K$1,products!$A$1:$G$1,0))</f>
        <v>1</v>
      </c>
      <c r="L533" s="5">
        <f>INDEX(products!$A$1:$G$49,MATCH($D533,products!$A$1:$A$49,0),MATCH(orders!L$1,products!$A$1:$G$1,0))</f>
        <v>8.9499999999999993</v>
      </c>
      <c r="M533" s="5">
        <f t="shared" si="16"/>
        <v>44.75</v>
      </c>
      <c r="N533" t="str">
        <f>IF(I533="Rob","Robusta",IF(I533="Exc","Excelsa",IF(I533="Ara","Arabica",IF(I533="Lib","Liberica",""))))</f>
        <v>Robusta</v>
      </c>
      <c r="O533" t="str">
        <f t="shared" si="17"/>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INDEX(products!$A$1:$G$49,MATCH($D534,products!$A$1:$A$49,0),MATCH(orders!I$1,products!$A$1:$G$1,0))</f>
        <v>Exc</v>
      </c>
      <c r="J534" t="str">
        <f>INDEX(products!$A$1:$G$49,MATCH($D534,products!$A$1:$A$49,0),MATCH(orders!J$1,products!$A$1:$G$1,0))</f>
        <v>M</v>
      </c>
      <c r="K534" s="4">
        <f>INDEX(products!$A$1:$G$49,MATCH($D534,products!$A$1:$A$49,0),MATCH(orders!K$1,products!$A$1:$G$1,0))</f>
        <v>0.5</v>
      </c>
      <c r="L534" s="5">
        <f>INDEX(products!$A$1:$G$49,MATCH($D534,products!$A$1:$A$49,0),MATCH(orders!L$1,products!$A$1:$G$1,0))</f>
        <v>8.25</v>
      </c>
      <c r="M534" s="5">
        <f t="shared" si="16"/>
        <v>16.5</v>
      </c>
      <c r="N534" t="str">
        <f>IF(I534="Rob","Robusta",IF(I534="Exc","Excelsa",IF(I534="Ara","Arabica",IF(I534="Lib","Liberica",""))))</f>
        <v>Excelsa</v>
      </c>
      <c r="O534" t="str">
        <f t="shared" si="17"/>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INDEX(products!$A$1:$G$49,MATCH($D535,products!$A$1:$A$49,0),MATCH(orders!I$1,products!$A$1:$G$1,0))</f>
        <v>Rob</v>
      </c>
      <c r="J535" t="str">
        <f>INDEX(products!$A$1:$G$49,MATCH($D535,products!$A$1:$A$49,0),MATCH(orders!J$1,products!$A$1:$G$1,0))</f>
        <v>D</v>
      </c>
      <c r="K535" s="4">
        <f>INDEX(products!$A$1:$G$49,MATCH($D535,products!$A$1:$A$49,0),MATCH(orders!K$1,products!$A$1:$G$1,0))</f>
        <v>0.5</v>
      </c>
      <c r="L535" s="5">
        <f>INDEX(products!$A$1:$G$49,MATCH($D535,products!$A$1:$A$49,0),MATCH(orders!L$1,products!$A$1:$G$1,0))</f>
        <v>5.3699999999999992</v>
      </c>
      <c r="M535" s="5">
        <f t="shared" si="16"/>
        <v>21.479999999999997</v>
      </c>
      <c r="N535" t="str">
        <f>IF(I535="Rob","Robusta",IF(I535="Exc","Excelsa",IF(I535="Ara","Arabica",IF(I535="Lib","Liberica",""))))</f>
        <v>Robusta</v>
      </c>
      <c r="O535" t="str">
        <f t="shared" si="17"/>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INDEX(products!$A$1:$G$49,MATCH($D536,products!$A$1:$A$49,0),MATCH(orders!I$1,products!$A$1:$G$1,0))</f>
        <v>Rob</v>
      </c>
      <c r="J536" t="str">
        <f>INDEX(products!$A$1:$G$49,MATCH($D536,products!$A$1:$A$49,0),MATCH(orders!J$1,products!$A$1:$G$1,0))</f>
        <v>M</v>
      </c>
      <c r="K536" s="4">
        <f>INDEX(products!$A$1:$G$49,MATCH($D536,products!$A$1:$A$49,0),MATCH(orders!K$1,products!$A$1:$G$1,0))</f>
        <v>2.5</v>
      </c>
      <c r="L536" s="5">
        <f>INDEX(products!$A$1:$G$49,MATCH($D536,products!$A$1:$A$49,0),MATCH(orders!L$1,products!$A$1:$G$1,0))</f>
        <v>22.884999999999998</v>
      </c>
      <c r="M536" s="5">
        <f t="shared" si="16"/>
        <v>45.769999999999996</v>
      </c>
      <c r="N536" t="str">
        <f>IF(I536="Rob","Robusta",IF(I536="Exc","Excelsa",IF(I536="Ara","Arabica",IF(I536="Lib","Liberica",""))))</f>
        <v>Robusta</v>
      </c>
      <c r="O536" t="str">
        <f t="shared" si="17"/>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INDEX(products!$A$1:$G$49,MATCH($D537,products!$A$1:$A$49,0),MATCH(orders!I$1,products!$A$1:$G$1,0))</f>
        <v>Lib</v>
      </c>
      <c r="J537" t="str">
        <f>INDEX(products!$A$1:$G$49,MATCH($D537,products!$A$1:$A$49,0),MATCH(orders!J$1,products!$A$1:$G$1,0))</f>
        <v>L</v>
      </c>
      <c r="K537" s="4">
        <f>INDEX(products!$A$1:$G$49,MATCH($D537,products!$A$1:$A$49,0),MATCH(orders!K$1,products!$A$1:$G$1,0))</f>
        <v>0.2</v>
      </c>
      <c r="L537" s="5">
        <f>INDEX(products!$A$1:$G$49,MATCH($D537,products!$A$1:$A$49,0),MATCH(orders!L$1,products!$A$1:$G$1,0))</f>
        <v>4.7549999999999999</v>
      </c>
      <c r="M537" s="5">
        <f t="shared" si="16"/>
        <v>9.51</v>
      </c>
      <c r="N537" t="str">
        <f>IF(I537="Rob","Robusta",IF(I537="Exc","Excelsa",IF(I537="Ara","Arabica",IF(I537="Lib","Liberica",""))))</f>
        <v>Liberica</v>
      </c>
      <c r="O537" t="str">
        <f t="shared" si="17"/>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INDEX(products!$A$1:$G$49,MATCH($D538,products!$A$1:$A$49,0),MATCH(orders!I$1,products!$A$1:$G$1,0))</f>
        <v>Rob</v>
      </c>
      <c r="J538" t="str">
        <f>INDEX(products!$A$1:$G$49,MATCH($D538,products!$A$1:$A$49,0),MATCH(orders!J$1,products!$A$1:$G$1,0))</f>
        <v>D</v>
      </c>
      <c r="K538" s="4">
        <f>INDEX(products!$A$1:$G$49,MATCH($D538,products!$A$1:$A$49,0),MATCH(orders!K$1,products!$A$1:$G$1,0))</f>
        <v>0.2</v>
      </c>
      <c r="L538" s="5">
        <f>INDEX(products!$A$1:$G$49,MATCH($D538,products!$A$1:$A$49,0),MATCH(orders!L$1,products!$A$1:$G$1,0))</f>
        <v>2.6849999999999996</v>
      </c>
      <c r="M538" s="5">
        <f t="shared" si="16"/>
        <v>8.0549999999999997</v>
      </c>
      <c r="N538" t="str">
        <f>IF(I538="Rob","Robusta",IF(I538="Exc","Excelsa",IF(I538="Ara","Arabica",IF(I538="Lib","Liberica",""))))</f>
        <v>Robusta</v>
      </c>
      <c r="O538" t="str">
        <f t="shared" si="17"/>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INDEX(products!$A$1:$G$49,MATCH($D539,products!$A$1:$A$49,0),MATCH(orders!I$1,products!$A$1:$G$1,0))</f>
        <v>Exc</v>
      </c>
      <c r="J539" t="str">
        <f>INDEX(products!$A$1:$G$49,MATCH($D539,products!$A$1:$A$49,0),MATCH(orders!J$1,products!$A$1:$G$1,0))</f>
        <v>D</v>
      </c>
      <c r="K539" s="4">
        <f>INDEX(products!$A$1:$G$49,MATCH($D539,products!$A$1:$A$49,0),MATCH(orders!K$1,products!$A$1:$G$1,0))</f>
        <v>2.5</v>
      </c>
      <c r="L539" s="5">
        <f>INDEX(products!$A$1:$G$49,MATCH($D539,products!$A$1:$A$49,0),MATCH(orders!L$1,products!$A$1:$G$1,0))</f>
        <v>27.945</v>
      </c>
      <c r="M539" s="5">
        <f t="shared" si="16"/>
        <v>111.78</v>
      </c>
      <c r="N539" t="str">
        <f>IF(I539="Rob","Robusta",IF(I539="Exc","Excelsa",IF(I539="Ara","Arabica",IF(I539="Lib","Liberica",""))))</f>
        <v>Excelsa</v>
      </c>
      <c r="O539" t="str">
        <f t="shared" si="17"/>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INDEX(products!$A$1:$G$49,MATCH($D540,products!$A$1:$A$49,0),MATCH(orders!I$1,products!$A$1:$G$1,0))</f>
        <v>Rob</v>
      </c>
      <c r="J540" t="str">
        <f>INDEX(products!$A$1:$G$49,MATCH($D540,products!$A$1:$A$49,0),MATCH(orders!J$1,products!$A$1:$G$1,0))</f>
        <v>D</v>
      </c>
      <c r="K540" s="4">
        <f>INDEX(products!$A$1:$G$49,MATCH($D540,products!$A$1:$A$49,0),MATCH(orders!K$1,products!$A$1:$G$1,0))</f>
        <v>0.2</v>
      </c>
      <c r="L540" s="5">
        <f>INDEX(products!$A$1:$G$49,MATCH($D540,products!$A$1:$A$49,0),MATCH(orders!L$1,products!$A$1:$G$1,0))</f>
        <v>2.6849999999999996</v>
      </c>
      <c r="M540" s="5">
        <f t="shared" si="16"/>
        <v>10.739999999999998</v>
      </c>
      <c r="N540" t="str">
        <f>IF(I540="Rob","Robusta",IF(I540="Exc","Excelsa",IF(I540="Ara","Arabica",IF(I540="Lib","Liberica",""))))</f>
        <v>Robusta</v>
      </c>
      <c r="O540" t="str">
        <f t="shared" si="17"/>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INDEX(products!$A$1:$G$49,MATCH($D541,products!$A$1:$A$49,0),MATCH(orders!I$1,products!$A$1:$G$1,0))</f>
        <v>Rob</v>
      </c>
      <c r="J541" t="str">
        <f>INDEX(products!$A$1:$G$49,MATCH($D541,products!$A$1:$A$49,0),MATCH(orders!J$1,products!$A$1:$G$1,0))</f>
        <v>D</v>
      </c>
      <c r="K541" s="4">
        <f>INDEX(products!$A$1:$G$49,MATCH($D541,products!$A$1:$A$49,0),MATCH(orders!K$1,products!$A$1:$G$1,0))</f>
        <v>0.5</v>
      </c>
      <c r="L541" s="5">
        <f>INDEX(products!$A$1:$G$49,MATCH($D541,products!$A$1:$A$49,0),MATCH(orders!L$1,products!$A$1:$G$1,0))</f>
        <v>5.3699999999999992</v>
      </c>
      <c r="M541" s="5">
        <f t="shared" si="16"/>
        <v>26.849999999999994</v>
      </c>
      <c r="N541" t="str">
        <f>IF(I541="Rob","Robusta",IF(I541="Exc","Excelsa",IF(I541="Ara","Arabica",IF(I541="Lib","Liberica",""))))</f>
        <v>Robusta</v>
      </c>
      <c r="O541" t="str">
        <f t="shared" si="17"/>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INDEX(products!$A$1:$G$49,MATCH($D542,products!$A$1:$A$49,0),MATCH(orders!I$1,products!$A$1:$G$1,0))</f>
        <v>Lib</v>
      </c>
      <c r="J542" t="str">
        <f>INDEX(products!$A$1:$G$49,MATCH($D542,products!$A$1:$A$49,0),MATCH(orders!J$1,products!$A$1:$G$1,0))</f>
        <v>L</v>
      </c>
      <c r="K542" s="4">
        <f>INDEX(products!$A$1:$G$49,MATCH($D542,products!$A$1:$A$49,0),MATCH(orders!K$1,products!$A$1:$G$1,0))</f>
        <v>1</v>
      </c>
      <c r="L542" s="5">
        <f>INDEX(products!$A$1:$G$49,MATCH($D542,products!$A$1:$A$49,0),MATCH(orders!L$1,products!$A$1:$G$1,0))</f>
        <v>15.85</v>
      </c>
      <c r="M542" s="5">
        <f t="shared" si="16"/>
        <v>63.4</v>
      </c>
      <c r="N542" t="str">
        <f>IF(I542="Rob","Robusta",IF(I542="Exc","Excelsa",IF(I542="Ara","Arabica",IF(I542="Lib","Liberica",""))))</f>
        <v>Liberica</v>
      </c>
      <c r="O542" t="str">
        <f t="shared" si="17"/>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INDEX(products!$A$1:$G$49,MATCH($D543,products!$A$1:$A$49,0),MATCH(orders!I$1,products!$A$1:$G$1,0))</f>
        <v>Ara</v>
      </c>
      <c r="J543" t="str">
        <f>INDEX(products!$A$1:$G$49,MATCH($D543,products!$A$1:$A$49,0),MATCH(orders!J$1,products!$A$1:$G$1,0))</f>
        <v>D</v>
      </c>
      <c r="K543" s="4">
        <f>INDEX(products!$A$1:$G$49,MATCH($D543,products!$A$1:$A$49,0),MATCH(orders!K$1,products!$A$1:$G$1,0))</f>
        <v>2.5</v>
      </c>
      <c r="L543" s="5">
        <f>INDEX(products!$A$1:$G$49,MATCH($D543,products!$A$1:$A$49,0),MATCH(orders!L$1,products!$A$1:$G$1,0))</f>
        <v>22.884999999999998</v>
      </c>
      <c r="M543" s="5">
        <f t="shared" si="16"/>
        <v>22.884999999999998</v>
      </c>
      <c r="N543" t="str">
        <f>IF(I543="Rob","Robusta",IF(I543="Exc","Excelsa",IF(I543="Ara","Arabica",IF(I543="Lib","Liberica",""))))</f>
        <v>Arabica</v>
      </c>
      <c r="O543" t="str">
        <f t="shared" si="17"/>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INDEX(products!$A$1:$G$49,MATCH($D544,products!$A$1:$A$49,0),MATCH(orders!I$1,products!$A$1:$G$1,0))</f>
        <v>Ara</v>
      </c>
      <c r="J544" t="str">
        <f>INDEX(products!$A$1:$G$49,MATCH($D544,products!$A$1:$A$49,0),MATCH(orders!J$1,products!$A$1:$G$1,0))</f>
        <v>M</v>
      </c>
      <c r="K544" s="4">
        <f>INDEX(products!$A$1:$G$49,MATCH($D544,products!$A$1:$A$49,0),MATCH(orders!K$1,products!$A$1:$G$1,0))</f>
        <v>2.5</v>
      </c>
      <c r="L544" s="5">
        <f>INDEX(products!$A$1:$G$49,MATCH($D544,products!$A$1:$A$49,0),MATCH(orders!L$1,products!$A$1:$G$1,0))</f>
        <v>25.874999999999996</v>
      </c>
      <c r="M544" s="5">
        <f t="shared" si="16"/>
        <v>103.49999999999999</v>
      </c>
      <c r="N544" t="str">
        <f>IF(I544="Rob","Robusta",IF(I544="Exc","Excelsa",IF(I544="Ara","Arabica",IF(I544="Lib","Liberica",""))))</f>
        <v>Arabica</v>
      </c>
      <c r="O544" t="str">
        <f t="shared" si="17"/>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INDEX(products!$A$1:$G$49,MATCH($D545,products!$A$1:$A$49,0),MATCH(orders!I$1,products!$A$1:$G$1,0))</f>
        <v>Rob</v>
      </c>
      <c r="J545" t="str">
        <f>INDEX(products!$A$1:$G$49,MATCH($D545,products!$A$1:$A$49,0),MATCH(orders!J$1,products!$A$1:$G$1,0))</f>
        <v>L</v>
      </c>
      <c r="K545" s="4">
        <f>INDEX(products!$A$1:$G$49,MATCH($D545,products!$A$1:$A$49,0),MATCH(orders!K$1,products!$A$1:$G$1,0))</f>
        <v>2.5</v>
      </c>
      <c r="L545" s="5">
        <f>INDEX(products!$A$1:$G$49,MATCH($D545,products!$A$1:$A$49,0),MATCH(orders!L$1,products!$A$1:$G$1,0))</f>
        <v>27.484999999999996</v>
      </c>
      <c r="M545" s="5">
        <f t="shared" si="16"/>
        <v>54.969999999999992</v>
      </c>
      <c r="N545" t="str">
        <f>IF(I545="Rob","Robusta",IF(I545="Exc","Excelsa",IF(I545="Ara","Arabica",IF(I545="Lib","Liberica",""))))</f>
        <v>Robusta</v>
      </c>
      <c r="O545" t="str">
        <f t="shared" si="17"/>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INDEX(products!$A$1:$G$49,MATCH($D546,products!$A$1:$A$49,0),MATCH(orders!I$1,products!$A$1:$G$1,0))</f>
        <v>Ara</v>
      </c>
      <c r="J546" t="str">
        <f>INDEX(products!$A$1:$G$49,MATCH($D546,products!$A$1:$A$49,0),MATCH(orders!J$1,products!$A$1:$G$1,0))</f>
        <v>L</v>
      </c>
      <c r="K546" s="4">
        <f>INDEX(products!$A$1:$G$49,MATCH($D546,products!$A$1:$A$49,0),MATCH(orders!K$1,products!$A$1:$G$1,0))</f>
        <v>0.5</v>
      </c>
      <c r="L546" s="5">
        <f>INDEX(products!$A$1:$G$49,MATCH($D546,products!$A$1:$A$49,0),MATCH(orders!L$1,products!$A$1:$G$1,0))</f>
        <v>7.77</v>
      </c>
      <c r="M546" s="5">
        <f t="shared" si="16"/>
        <v>15.54</v>
      </c>
      <c r="N546" t="str">
        <f>IF(I546="Rob","Robusta",IF(I546="Exc","Excelsa",IF(I546="Ara","Arabica",IF(I546="Lib","Liberica",""))))</f>
        <v>Arabica</v>
      </c>
      <c r="O546" t="str">
        <f t="shared" si="17"/>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INDEX(products!$A$1:$G$49,MATCH($D547,products!$A$1:$A$49,0),MATCH(orders!I$1,products!$A$1:$G$1,0))</f>
        <v>Lib</v>
      </c>
      <c r="J547" t="str">
        <f>INDEX(products!$A$1:$G$49,MATCH($D547,products!$A$1:$A$49,0),MATCH(orders!J$1,products!$A$1:$G$1,0))</f>
        <v>D</v>
      </c>
      <c r="K547" s="4">
        <f>INDEX(products!$A$1:$G$49,MATCH($D547,products!$A$1:$A$49,0),MATCH(orders!K$1,products!$A$1:$G$1,0))</f>
        <v>0.2</v>
      </c>
      <c r="L547" s="5">
        <f>INDEX(products!$A$1:$G$49,MATCH($D547,products!$A$1:$A$49,0),MATCH(orders!L$1,products!$A$1:$G$1,0))</f>
        <v>3.8849999999999998</v>
      </c>
      <c r="M547" s="5">
        <f t="shared" si="16"/>
        <v>15.54</v>
      </c>
      <c r="N547" t="str">
        <f>IF(I547="Rob","Robusta",IF(I547="Exc","Excelsa",IF(I547="Ara","Arabica",IF(I547="Lib","Liberica",""))))</f>
        <v>Liberica</v>
      </c>
      <c r="O547" t="str">
        <f t="shared" si="17"/>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INDEX(products!$A$1:$G$49,MATCH($D548,products!$A$1:$A$49,0),MATCH(orders!I$1,products!$A$1:$G$1,0))</f>
        <v>Exc</v>
      </c>
      <c r="J548" t="str">
        <f>INDEX(products!$A$1:$G$49,MATCH($D548,products!$A$1:$A$49,0),MATCH(orders!J$1,products!$A$1:$G$1,0))</f>
        <v>D</v>
      </c>
      <c r="K548" s="4">
        <f>INDEX(products!$A$1:$G$49,MATCH($D548,products!$A$1:$A$49,0),MATCH(orders!K$1,products!$A$1:$G$1,0))</f>
        <v>2.5</v>
      </c>
      <c r="L548" s="5">
        <f>INDEX(products!$A$1:$G$49,MATCH($D548,products!$A$1:$A$49,0),MATCH(orders!L$1,products!$A$1:$G$1,0))</f>
        <v>27.945</v>
      </c>
      <c r="M548" s="5">
        <f t="shared" si="16"/>
        <v>83.835000000000008</v>
      </c>
      <c r="N548" t="str">
        <f>IF(I548="Rob","Robusta",IF(I548="Exc","Excelsa",IF(I548="Ara","Arabica",IF(I548="Lib","Liberica",""))))</f>
        <v>Excelsa</v>
      </c>
      <c r="O548" t="str">
        <f t="shared" si="17"/>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INDEX(products!$A$1:$G$49,MATCH($D549,products!$A$1:$A$49,0),MATCH(orders!I$1,products!$A$1:$G$1,0))</f>
        <v>Rob</v>
      </c>
      <c r="J549" t="str">
        <f>INDEX(products!$A$1:$G$49,MATCH($D549,products!$A$1:$A$49,0),MATCH(orders!J$1,products!$A$1:$G$1,0))</f>
        <v>L</v>
      </c>
      <c r="K549" s="4">
        <f>INDEX(products!$A$1:$G$49,MATCH($D549,products!$A$1:$A$49,0),MATCH(orders!K$1,products!$A$1:$G$1,0))</f>
        <v>0.2</v>
      </c>
      <c r="L549" s="5">
        <f>INDEX(products!$A$1:$G$49,MATCH($D549,products!$A$1:$A$49,0),MATCH(orders!L$1,products!$A$1:$G$1,0))</f>
        <v>3.5849999999999995</v>
      </c>
      <c r="M549" s="5">
        <f t="shared" si="16"/>
        <v>10.754999999999999</v>
      </c>
      <c r="N549" t="str">
        <f>IF(I549="Rob","Robusta",IF(I549="Exc","Excelsa",IF(I549="Ara","Arabica",IF(I549="Lib","Liberica",""))))</f>
        <v>Robusta</v>
      </c>
      <c r="O549" t="str">
        <f t="shared" si="17"/>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INDEX(products!$A$1:$G$49,MATCH($D550,products!$A$1:$A$49,0),MATCH(orders!I$1,products!$A$1:$G$1,0))</f>
        <v>Exc</v>
      </c>
      <c r="J550" t="str">
        <f>INDEX(products!$A$1:$G$49,MATCH($D550,products!$A$1:$A$49,0),MATCH(orders!J$1,products!$A$1:$G$1,0))</f>
        <v>L</v>
      </c>
      <c r="K550" s="4">
        <f>INDEX(products!$A$1:$G$49,MATCH($D550,products!$A$1:$A$49,0),MATCH(orders!K$1,products!$A$1:$G$1,0))</f>
        <v>0.2</v>
      </c>
      <c r="L550" s="5">
        <f>INDEX(products!$A$1:$G$49,MATCH($D550,products!$A$1:$A$49,0),MATCH(orders!L$1,products!$A$1:$G$1,0))</f>
        <v>4.4550000000000001</v>
      </c>
      <c r="M550" s="5">
        <f t="shared" si="16"/>
        <v>13.365</v>
      </c>
      <c r="N550" t="str">
        <f>IF(I550="Rob","Robusta",IF(I550="Exc","Excelsa",IF(I550="Ara","Arabica",IF(I550="Lib","Liberica",""))))</f>
        <v>Excelsa</v>
      </c>
      <c r="O550" t="str">
        <f t="shared" si="17"/>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INDEX(products!$A$1:$G$49,MATCH($D551,products!$A$1:$A$49,0),MATCH(orders!I$1,products!$A$1:$G$1,0))</f>
        <v>Exc</v>
      </c>
      <c r="J551" t="str">
        <f>INDEX(products!$A$1:$G$49,MATCH($D551,products!$A$1:$A$49,0),MATCH(orders!J$1,products!$A$1:$G$1,0))</f>
        <v>L</v>
      </c>
      <c r="K551" s="4">
        <f>INDEX(products!$A$1:$G$49,MATCH($D551,products!$A$1:$A$49,0),MATCH(orders!K$1,products!$A$1:$G$1,0))</f>
        <v>0.2</v>
      </c>
      <c r="L551" s="5">
        <f>INDEX(products!$A$1:$G$49,MATCH($D551,products!$A$1:$A$49,0),MATCH(orders!L$1,products!$A$1:$G$1,0))</f>
        <v>4.4550000000000001</v>
      </c>
      <c r="M551" s="5">
        <f t="shared" si="16"/>
        <v>17.82</v>
      </c>
      <c r="N551" t="str">
        <f>IF(I551="Rob","Robusta",IF(I551="Exc","Excelsa",IF(I551="Ara","Arabica",IF(I551="Lib","Liberica",""))))</f>
        <v>Excelsa</v>
      </c>
      <c r="O551" t="str">
        <f t="shared" si="17"/>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INDEX(products!$A$1:$G$49,MATCH($D552,products!$A$1:$A$49,0),MATCH(orders!I$1,products!$A$1:$G$1,0))</f>
        <v>Lib</v>
      </c>
      <c r="J552" t="str">
        <f>INDEX(products!$A$1:$G$49,MATCH($D552,products!$A$1:$A$49,0),MATCH(orders!J$1,products!$A$1:$G$1,0))</f>
        <v>D</v>
      </c>
      <c r="K552" s="4">
        <f>INDEX(products!$A$1:$G$49,MATCH($D552,products!$A$1:$A$49,0),MATCH(orders!K$1,products!$A$1:$G$1,0))</f>
        <v>0.2</v>
      </c>
      <c r="L552" s="5">
        <f>INDEX(products!$A$1:$G$49,MATCH($D552,products!$A$1:$A$49,0),MATCH(orders!L$1,products!$A$1:$G$1,0))</f>
        <v>3.8849999999999998</v>
      </c>
      <c r="M552" s="5">
        <f t="shared" si="16"/>
        <v>23.31</v>
      </c>
      <c r="N552" t="str">
        <f>IF(I552="Rob","Robusta",IF(I552="Exc","Excelsa",IF(I552="Ara","Arabica",IF(I552="Lib","Liberica",""))))</f>
        <v>Liberica</v>
      </c>
      <c r="O552" t="str">
        <f t="shared" si="17"/>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INDEX(products!$A$1:$G$49,MATCH($D553,products!$A$1:$A$49,0),MATCH(orders!I$1,products!$A$1:$G$1,0))</f>
        <v>Exc</v>
      </c>
      <c r="J553" t="str">
        <f>INDEX(products!$A$1:$G$49,MATCH($D553,products!$A$1:$A$49,0),MATCH(orders!J$1,products!$A$1:$G$1,0))</f>
        <v>D</v>
      </c>
      <c r="K553" s="4">
        <f>INDEX(products!$A$1:$G$49,MATCH($D553,products!$A$1:$A$49,0),MATCH(orders!K$1,products!$A$1:$G$1,0))</f>
        <v>0.2</v>
      </c>
      <c r="L553" s="5">
        <f>INDEX(products!$A$1:$G$49,MATCH($D553,products!$A$1:$A$49,0),MATCH(orders!L$1,products!$A$1:$G$1,0))</f>
        <v>3.645</v>
      </c>
      <c r="M553" s="5">
        <f t="shared" si="16"/>
        <v>7.29</v>
      </c>
      <c r="N553" t="str">
        <f>IF(I553="Rob","Robusta",IF(I553="Exc","Excelsa",IF(I553="Ara","Arabica",IF(I553="Lib","Liberica",""))))</f>
        <v>Excelsa</v>
      </c>
      <c r="O553" t="str">
        <f t="shared" si="17"/>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INDEX(products!$A$1:$G$49,MATCH($D554,products!$A$1:$A$49,0),MATCH(orders!I$1,products!$A$1:$G$1,0))</f>
        <v>Exc</v>
      </c>
      <c r="J554" t="str">
        <f>INDEX(products!$A$1:$G$49,MATCH($D554,products!$A$1:$A$49,0),MATCH(orders!J$1,products!$A$1:$G$1,0))</f>
        <v>L</v>
      </c>
      <c r="K554" s="4">
        <f>INDEX(products!$A$1:$G$49,MATCH($D554,products!$A$1:$A$49,0),MATCH(orders!K$1,products!$A$1:$G$1,0))</f>
        <v>0.2</v>
      </c>
      <c r="L554" s="5">
        <f>INDEX(products!$A$1:$G$49,MATCH($D554,products!$A$1:$A$49,0),MATCH(orders!L$1,products!$A$1:$G$1,0))</f>
        <v>4.4550000000000001</v>
      </c>
      <c r="M554" s="5">
        <f t="shared" si="16"/>
        <v>17.82</v>
      </c>
      <c r="N554" t="str">
        <f>IF(I554="Rob","Robusta",IF(I554="Exc","Excelsa",IF(I554="Ara","Arabica",IF(I554="Lib","Liberica",""))))</f>
        <v>Excelsa</v>
      </c>
      <c r="O554" t="str">
        <f t="shared" si="17"/>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INDEX(products!$A$1:$G$49,MATCH($D555,products!$A$1:$A$49,0),MATCH(orders!I$1,products!$A$1:$G$1,0))</f>
        <v>Exc</v>
      </c>
      <c r="J555" t="str">
        <f>INDEX(products!$A$1:$G$49,MATCH($D555,products!$A$1:$A$49,0),MATCH(orders!J$1,products!$A$1:$G$1,0))</f>
        <v>M</v>
      </c>
      <c r="K555" s="4">
        <f>INDEX(products!$A$1:$G$49,MATCH($D555,products!$A$1:$A$49,0),MATCH(orders!K$1,products!$A$1:$G$1,0))</f>
        <v>1</v>
      </c>
      <c r="L555" s="5">
        <f>INDEX(products!$A$1:$G$49,MATCH($D555,products!$A$1:$A$49,0),MATCH(orders!L$1,products!$A$1:$G$1,0))</f>
        <v>13.75</v>
      </c>
      <c r="M555" s="5">
        <f t="shared" si="16"/>
        <v>68.75</v>
      </c>
      <c r="N555" t="str">
        <f>IF(I555="Rob","Robusta",IF(I555="Exc","Excelsa",IF(I555="Ara","Arabica",IF(I555="Lib","Liberica",""))))</f>
        <v>Excelsa</v>
      </c>
      <c r="O555" t="str">
        <f t="shared" si="17"/>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INDEX(products!$A$1:$G$49,MATCH($D556,products!$A$1:$A$49,0),MATCH(orders!I$1,products!$A$1:$G$1,0))</f>
        <v>Rob</v>
      </c>
      <c r="J556" t="str">
        <f>INDEX(products!$A$1:$G$49,MATCH($D556,products!$A$1:$A$49,0),MATCH(orders!J$1,products!$A$1:$G$1,0))</f>
        <v>L</v>
      </c>
      <c r="K556" s="4">
        <f>INDEX(products!$A$1:$G$49,MATCH($D556,products!$A$1:$A$49,0),MATCH(orders!K$1,products!$A$1:$G$1,0))</f>
        <v>2.5</v>
      </c>
      <c r="L556" s="5">
        <f>INDEX(products!$A$1:$G$49,MATCH($D556,products!$A$1:$A$49,0),MATCH(orders!L$1,products!$A$1:$G$1,0))</f>
        <v>27.484999999999996</v>
      </c>
      <c r="M556" s="5">
        <f t="shared" si="16"/>
        <v>54.969999999999992</v>
      </c>
      <c r="N556" t="str">
        <f>IF(I556="Rob","Robusta",IF(I556="Exc","Excelsa",IF(I556="Ara","Arabica",IF(I556="Lib","Liberica",""))))</f>
        <v>Robusta</v>
      </c>
      <c r="O556" t="str">
        <f t="shared" si="17"/>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INDEX(products!$A$1:$G$49,MATCH($D557,products!$A$1:$A$49,0),MATCH(orders!I$1,products!$A$1:$G$1,0))</f>
        <v>Exc</v>
      </c>
      <c r="J557" t="str">
        <f>INDEX(products!$A$1:$G$49,MATCH($D557,products!$A$1:$A$49,0),MATCH(orders!J$1,products!$A$1:$G$1,0))</f>
        <v>M</v>
      </c>
      <c r="K557" s="4">
        <f>INDEX(products!$A$1:$G$49,MATCH($D557,products!$A$1:$A$49,0),MATCH(orders!K$1,products!$A$1:$G$1,0))</f>
        <v>1</v>
      </c>
      <c r="L557" s="5">
        <f>INDEX(products!$A$1:$G$49,MATCH($D557,products!$A$1:$A$49,0),MATCH(orders!L$1,products!$A$1:$G$1,0))</f>
        <v>13.75</v>
      </c>
      <c r="M557" s="5">
        <f t="shared" si="16"/>
        <v>82.5</v>
      </c>
      <c r="N557" t="str">
        <f>IF(I557="Rob","Robusta",IF(I557="Exc","Excelsa",IF(I557="Ara","Arabica",IF(I557="Lib","Liberica",""))))</f>
        <v>Excelsa</v>
      </c>
      <c r="O557" t="str">
        <f t="shared" si="17"/>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INDEX(products!$A$1:$G$49,MATCH($D558,products!$A$1:$A$49,0),MATCH(orders!I$1,products!$A$1:$G$1,0))</f>
        <v>Lib</v>
      </c>
      <c r="J558" t="str">
        <f>INDEX(products!$A$1:$G$49,MATCH($D558,products!$A$1:$A$49,0),MATCH(orders!J$1,products!$A$1:$G$1,0))</f>
        <v>M</v>
      </c>
      <c r="K558" s="4">
        <f>INDEX(products!$A$1:$G$49,MATCH($D558,products!$A$1:$A$49,0),MATCH(orders!K$1,products!$A$1:$G$1,0))</f>
        <v>0.2</v>
      </c>
      <c r="L558" s="5">
        <f>INDEX(products!$A$1:$G$49,MATCH($D558,products!$A$1:$A$49,0),MATCH(orders!L$1,products!$A$1:$G$1,0))</f>
        <v>4.3650000000000002</v>
      </c>
      <c r="M558" s="5">
        <f t="shared" si="16"/>
        <v>8.73</v>
      </c>
      <c r="N558" t="str">
        <f>IF(I558="Rob","Robusta",IF(I558="Exc","Excelsa",IF(I558="Ara","Arabica",IF(I558="Lib","Liberica",""))))</f>
        <v>Liberica</v>
      </c>
      <c r="O558" t="str">
        <f t="shared" si="17"/>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INDEX(products!$A$1:$G$49,MATCH($D559,products!$A$1:$A$49,0),MATCH(orders!I$1,products!$A$1:$G$1,0))</f>
        <v>Exc</v>
      </c>
      <c r="J559" t="str">
        <f>INDEX(products!$A$1:$G$49,MATCH($D559,products!$A$1:$A$49,0),MATCH(orders!J$1,products!$A$1:$G$1,0))</f>
        <v>L</v>
      </c>
      <c r="K559" s="4">
        <f>INDEX(products!$A$1:$G$49,MATCH($D559,products!$A$1:$A$49,0),MATCH(orders!K$1,products!$A$1:$G$1,0))</f>
        <v>1</v>
      </c>
      <c r="L559" s="5">
        <f>INDEX(products!$A$1:$G$49,MATCH($D559,products!$A$1:$A$49,0),MATCH(orders!L$1,products!$A$1:$G$1,0))</f>
        <v>14.85</v>
      </c>
      <c r="M559" s="5">
        <f t="shared" si="16"/>
        <v>59.4</v>
      </c>
      <c r="N559" t="str">
        <f>IF(I559="Rob","Robusta",IF(I559="Exc","Excelsa",IF(I559="Ara","Arabica",IF(I559="Lib","Liberica",""))))</f>
        <v>Excelsa</v>
      </c>
      <c r="O559" t="str">
        <f t="shared" si="17"/>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INDEX(products!$A$1:$G$49,MATCH($D560,products!$A$1:$A$49,0),MATCH(orders!I$1,products!$A$1:$G$1,0))</f>
        <v>Lib</v>
      </c>
      <c r="J560" t="str">
        <f>INDEX(products!$A$1:$G$49,MATCH($D560,products!$A$1:$A$49,0),MATCH(orders!J$1,products!$A$1:$G$1,0))</f>
        <v>D</v>
      </c>
      <c r="K560" s="4">
        <f>INDEX(products!$A$1:$G$49,MATCH($D560,products!$A$1:$A$49,0),MATCH(orders!K$1,products!$A$1:$G$1,0))</f>
        <v>0.2</v>
      </c>
      <c r="L560" s="5">
        <f>INDEX(products!$A$1:$G$49,MATCH($D560,products!$A$1:$A$49,0),MATCH(orders!L$1,products!$A$1:$G$1,0))</f>
        <v>3.8849999999999998</v>
      </c>
      <c r="M560" s="5">
        <f t="shared" si="16"/>
        <v>15.54</v>
      </c>
      <c r="N560" t="str">
        <f>IF(I560="Rob","Robusta",IF(I560="Exc","Excelsa",IF(I560="Ara","Arabica",IF(I560="Lib","Liberica",""))))</f>
        <v>Liberica</v>
      </c>
      <c r="O560" t="str">
        <f t="shared" si="17"/>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INDEX(products!$A$1:$G$49,MATCH($D561,products!$A$1:$A$49,0),MATCH(orders!I$1,products!$A$1:$G$1,0))</f>
        <v>Ara</v>
      </c>
      <c r="J561" t="str">
        <f>INDEX(products!$A$1:$G$49,MATCH($D561,products!$A$1:$A$49,0),MATCH(orders!J$1,products!$A$1:$G$1,0))</f>
        <v>L</v>
      </c>
      <c r="K561" s="4">
        <f>INDEX(products!$A$1:$G$49,MATCH($D561,products!$A$1:$A$49,0),MATCH(orders!K$1,products!$A$1:$G$1,0))</f>
        <v>1</v>
      </c>
      <c r="L561" s="5">
        <f>INDEX(products!$A$1:$G$49,MATCH($D561,products!$A$1:$A$49,0),MATCH(orders!L$1,products!$A$1:$G$1,0))</f>
        <v>12.95</v>
      </c>
      <c r="M561" s="5">
        <f t="shared" si="16"/>
        <v>38.849999999999994</v>
      </c>
      <c r="N561" t="str">
        <f>IF(I561="Rob","Robusta",IF(I561="Exc","Excelsa",IF(I561="Ara","Arabica",IF(I561="Lib","Liberica",""))))</f>
        <v>Arabica</v>
      </c>
      <c r="O561" t="str">
        <f t="shared" si="17"/>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INDEX(products!$A$1:$G$49,MATCH($D562,products!$A$1:$A$49,0),MATCH(orders!I$1,products!$A$1:$G$1,0))</f>
        <v>Exc</v>
      </c>
      <c r="J562" t="str">
        <f>INDEX(products!$A$1:$G$49,MATCH($D562,products!$A$1:$A$49,0),MATCH(orders!J$1,products!$A$1:$G$1,0))</f>
        <v>M</v>
      </c>
      <c r="K562" s="4">
        <f>INDEX(products!$A$1:$G$49,MATCH($D562,products!$A$1:$A$49,0),MATCH(orders!K$1,products!$A$1:$G$1,0))</f>
        <v>2.5</v>
      </c>
      <c r="L562" s="5">
        <f>INDEX(products!$A$1:$G$49,MATCH($D562,products!$A$1:$A$49,0),MATCH(orders!L$1,products!$A$1:$G$1,0))</f>
        <v>31.624999999999996</v>
      </c>
      <c r="M562" s="5">
        <f t="shared" si="16"/>
        <v>189.74999999999997</v>
      </c>
      <c r="N562" t="str">
        <f>IF(I562="Rob","Robusta",IF(I562="Exc","Excelsa",IF(I562="Ara","Arabica",IF(I562="Lib","Liberica",""))))</f>
        <v>Excelsa</v>
      </c>
      <c r="O562" t="str">
        <f t="shared" si="17"/>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INDEX(products!$A$1:$G$49,MATCH($D563,products!$A$1:$A$49,0),MATCH(orders!I$1,products!$A$1:$G$1,0))</f>
        <v>Ara</v>
      </c>
      <c r="J563" t="str">
        <f>INDEX(products!$A$1:$G$49,MATCH($D563,products!$A$1:$A$49,0),MATCH(orders!J$1,products!$A$1:$G$1,0))</f>
        <v>D</v>
      </c>
      <c r="K563" s="4">
        <f>INDEX(products!$A$1:$G$49,MATCH($D563,products!$A$1:$A$49,0),MATCH(orders!K$1,products!$A$1:$G$1,0))</f>
        <v>0.2</v>
      </c>
      <c r="L563" s="5">
        <f>INDEX(products!$A$1:$G$49,MATCH($D563,products!$A$1:$A$49,0),MATCH(orders!L$1,products!$A$1:$G$1,0))</f>
        <v>2.9849999999999999</v>
      </c>
      <c r="M563" s="5">
        <f t="shared" si="16"/>
        <v>17.91</v>
      </c>
      <c r="N563" t="str">
        <f>IF(I563="Rob","Robusta",IF(I563="Exc","Excelsa",IF(I563="Ara","Arabica",IF(I563="Lib","Liberica",""))))</f>
        <v>Arabica</v>
      </c>
      <c r="O563" t="str">
        <f t="shared" si="17"/>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INDEX(products!$A$1:$G$49,MATCH($D564,products!$A$1:$A$49,0),MATCH(orders!I$1,products!$A$1:$G$1,0))</f>
        <v>Lib</v>
      </c>
      <c r="J564" t="str">
        <f>INDEX(products!$A$1:$G$49,MATCH($D564,products!$A$1:$A$49,0),MATCH(orders!J$1,products!$A$1:$G$1,0))</f>
        <v>L</v>
      </c>
      <c r="K564" s="4">
        <f>INDEX(products!$A$1:$G$49,MATCH($D564,products!$A$1:$A$49,0),MATCH(orders!K$1,products!$A$1:$G$1,0))</f>
        <v>0.2</v>
      </c>
      <c r="L564" s="5">
        <f>INDEX(products!$A$1:$G$49,MATCH($D564,products!$A$1:$A$49,0),MATCH(orders!L$1,products!$A$1:$G$1,0))</f>
        <v>4.7549999999999999</v>
      </c>
      <c r="M564" s="5">
        <f t="shared" si="16"/>
        <v>28.53</v>
      </c>
      <c r="N564" t="str">
        <f>IF(I564="Rob","Robusta",IF(I564="Exc","Excelsa",IF(I564="Ara","Arabica",IF(I564="Lib","Liberica",""))))</f>
        <v>Liberica</v>
      </c>
      <c r="O564" t="str">
        <f t="shared" si="17"/>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INDEX(products!$A$1:$G$49,MATCH($D565,products!$A$1:$A$49,0),MATCH(orders!I$1,products!$A$1:$G$1,0))</f>
        <v>Exc</v>
      </c>
      <c r="J565" t="str">
        <f>INDEX(products!$A$1:$G$49,MATCH($D565,products!$A$1:$A$49,0),MATCH(orders!J$1,products!$A$1:$G$1,0))</f>
        <v>M</v>
      </c>
      <c r="K565" s="4">
        <f>INDEX(products!$A$1:$G$49,MATCH($D565,products!$A$1:$A$49,0),MATCH(orders!K$1,products!$A$1:$G$1,0))</f>
        <v>1</v>
      </c>
      <c r="L565" s="5">
        <f>INDEX(products!$A$1:$G$49,MATCH($D565,products!$A$1:$A$49,0),MATCH(orders!L$1,products!$A$1:$G$1,0))</f>
        <v>13.75</v>
      </c>
      <c r="M565" s="5">
        <f t="shared" si="16"/>
        <v>82.5</v>
      </c>
      <c r="N565" t="str">
        <f>IF(I565="Rob","Robusta",IF(I565="Exc","Excelsa",IF(I565="Ara","Arabica",IF(I565="Lib","Liberica",""))))</f>
        <v>Excelsa</v>
      </c>
      <c r="O565" t="str">
        <f t="shared" si="17"/>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INDEX(products!$A$1:$G$49,MATCH($D566,products!$A$1:$A$49,0),MATCH(orders!I$1,products!$A$1:$G$1,0))</f>
        <v>Rob</v>
      </c>
      <c r="J566" t="str">
        <f>INDEX(products!$A$1:$G$49,MATCH($D566,products!$A$1:$A$49,0),MATCH(orders!J$1,products!$A$1:$G$1,0))</f>
        <v>L</v>
      </c>
      <c r="K566" s="4">
        <f>INDEX(products!$A$1:$G$49,MATCH($D566,products!$A$1:$A$49,0),MATCH(orders!K$1,products!$A$1:$G$1,0))</f>
        <v>0.5</v>
      </c>
      <c r="L566" s="5">
        <f>INDEX(products!$A$1:$G$49,MATCH($D566,products!$A$1:$A$49,0),MATCH(orders!L$1,products!$A$1:$G$1,0))</f>
        <v>7.169999999999999</v>
      </c>
      <c r="M566" s="5">
        <f t="shared" si="16"/>
        <v>14.339999999999998</v>
      </c>
      <c r="N566" t="str">
        <f>IF(I566="Rob","Robusta",IF(I566="Exc","Excelsa",IF(I566="Ara","Arabica",IF(I566="Lib","Liberica",""))))</f>
        <v>Robusta</v>
      </c>
      <c r="O566" t="str">
        <f t="shared" si="17"/>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INDEX(products!$A$1:$G$49,MATCH($D567,products!$A$1:$A$49,0),MATCH(orders!I$1,products!$A$1:$G$1,0))</f>
        <v>Rob</v>
      </c>
      <c r="J567" t="str">
        <f>INDEX(products!$A$1:$G$49,MATCH($D567,products!$A$1:$A$49,0),MATCH(orders!J$1,products!$A$1:$G$1,0))</f>
        <v>D</v>
      </c>
      <c r="K567" s="4">
        <f>INDEX(products!$A$1:$G$49,MATCH($D567,products!$A$1:$A$49,0),MATCH(orders!K$1,products!$A$1:$G$1,0))</f>
        <v>2.5</v>
      </c>
      <c r="L567" s="5">
        <f>INDEX(products!$A$1:$G$49,MATCH($D567,products!$A$1:$A$49,0),MATCH(orders!L$1,products!$A$1:$G$1,0))</f>
        <v>20.584999999999997</v>
      </c>
      <c r="M567" s="5">
        <f t="shared" si="16"/>
        <v>82.339999999999989</v>
      </c>
      <c r="N567" t="str">
        <f>IF(I567="Rob","Robusta",IF(I567="Exc","Excelsa",IF(I567="Ara","Arabica",IF(I567="Lib","Liberica",""))))</f>
        <v>Robusta</v>
      </c>
      <c r="O567" t="str">
        <f t="shared" si="17"/>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INDEX(products!$A$1:$G$49,MATCH($D568,products!$A$1:$A$49,0),MATCH(orders!I$1,products!$A$1:$G$1,0))</f>
        <v>Ara</v>
      </c>
      <c r="J568" t="str">
        <f>INDEX(products!$A$1:$G$49,MATCH($D568,products!$A$1:$A$49,0),MATCH(orders!J$1,products!$A$1:$G$1,0))</f>
        <v>M</v>
      </c>
      <c r="K568" s="4">
        <f>INDEX(products!$A$1:$G$49,MATCH($D568,products!$A$1:$A$49,0),MATCH(orders!K$1,products!$A$1:$G$1,0))</f>
        <v>0.2</v>
      </c>
      <c r="L568" s="5">
        <f>INDEX(products!$A$1:$G$49,MATCH($D568,products!$A$1:$A$49,0),MATCH(orders!L$1,products!$A$1:$G$1,0))</f>
        <v>3.375</v>
      </c>
      <c r="M568" s="5">
        <f t="shared" si="16"/>
        <v>20.25</v>
      </c>
      <c r="N568" t="str">
        <f>IF(I568="Rob","Robusta",IF(I568="Exc","Excelsa",IF(I568="Ara","Arabica",IF(I568="Lib","Liberica",""))))</f>
        <v>Arabica</v>
      </c>
      <c r="O568" t="str">
        <f t="shared" si="17"/>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INDEX(products!$A$1:$G$49,MATCH($D569,products!$A$1:$A$49,0),MATCH(orders!I$1,products!$A$1:$G$1,0))</f>
        <v>Rob</v>
      </c>
      <c r="J569" t="str">
        <f>INDEX(products!$A$1:$G$49,MATCH($D569,products!$A$1:$A$49,0),MATCH(orders!J$1,products!$A$1:$G$1,0))</f>
        <v>L</v>
      </c>
      <c r="K569" s="4">
        <f>INDEX(products!$A$1:$G$49,MATCH($D569,products!$A$1:$A$49,0),MATCH(orders!K$1,products!$A$1:$G$1,0))</f>
        <v>2.5</v>
      </c>
      <c r="L569" s="5">
        <f>INDEX(products!$A$1:$G$49,MATCH($D569,products!$A$1:$A$49,0),MATCH(orders!L$1,products!$A$1:$G$1,0))</f>
        <v>27.484999999999996</v>
      </c>
      <c r="M569" s="5">
        <f t="shared" si="16"/>
        <v>164.90999999999997</v>
      </c>
      <c r="N569" t="str">
        <f>IF(I569="Rob","Robusta",IF(I569="Exc","Excelsa",IF(I569="Ara","Arabica",IF(I569="Lib","Liberica",""))))</f>
        <v>Robusta</v>
      </c>
      <c r="O569" t="str">
        <f t="shared" si="17"/>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INDEX(products!$A$1:$G$49,MATCH($D570,products!$A$1:$A$49,0),MATCH(orders!I$1,products!$A$1:$G$1,0))</f>
        <v>Lib</v>
      </c>
      <c r="J570" t="str">
        <f>INDEX(products!$A$1:$G$49,MATCH($D570,products!$A$1:$A$49,0),MATCH(orders!J$1,products!$A$1:$G$1,0))</f>
        <v>L</v>
      </c>
      <c r="K570" s="4">
        <f>INDEX(products!$A$1:$G$49,MATCH($D570,products!$A$1:$A$49,0),MATCH(orders!K$1,products!$A$1:$G$1,0))</f>
        <v>0.2</v>
      </c>
      <c r="L570" s="5">
        <f>INDEX(products!$A$1:$G$49,MATCH($D570,products!$A$1:$A$49,0),MATCH(orders!L$1,products!$A$1:$G$1,0))</f>
        <v>4.7549999999999999</v>
      </c>
      <c r="M570" s="5">
        <f t="shared" si="16"/>
        <v>19.02</v>
      </c>
      <c r="N570" t="str">
        <f>IF(I570="Rob","Robusta",IF(I570="Exc","Excelsa",IF(I570="Ara","Arabica",IF(I570="Lib","Liberica",""))))</f>
        <v>Liberica</v>
      </c>
      <c r="O570" t="str">
        <f t="shared" si="17"/>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INDEX(products!$A$1:$G$49,MATCH($D571,products!$A$1:$A$49,0),MATCH(orders!I$1,products!$A$1:$G$1,0))</f>
        <v>Ara</v>
      </c>
      <c r="J571" t="str">
        <f>INDEX(products!$A$1:$G$49,MATCH($D571,products!$A$1:$A$49,0),MATCH(orders!J$1,products!$A$1:$G$1,0))</f>
        <v>D</v>
      </c>
      <c r="K571" s="4">
        <f>INDEX(products!$A$1:$G$49,MATCH($D571,products!$A$1:$A$49,0),MATCH(orders!K$1,products!$A$1:$G$1,0))</f>
        <v>2.5</v>
      </c>
      <c r="L571" s="5">
        <f>INDEX(products!$A$1:$G$49,MATCH($D571,products!$A$1:$A$49,0),MATCH(orders!L$1,products!$A$1:$G$1,0))</f>
        <v>22.884999999999998</v>
      </c>
      <c r="M571" s="5">
        <f t="shared" si="16"/>
        <v>137.31</v>
      </c>
      <c r="N571" t="str">
        <f>IF(I571="Rob","Robusta",IF(I571="Exc","Excelsa",IF(I571="Ara","Arabica",IF(I571="Lib","Liberica",""))))</f>
        <v>Arabica</v>
      </c>
      <c r="O571" t="str">
        <f t="shared" si="17"/>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INDEX(products!$A$1:$G$49,MATCH($D572,products!$A$1:$A$49,0),MATCH(orders!I$1,products!$A$1:$G$1,0))</f>
        <v>Ara</v>
      </c>
      <c r="J572" t="str">
        <f>INDEX(products!$A$1:$G$49,MATCH($D572,products!$A$1:$A$49,0),MATCH(orders!J$1,products!$A$1:$G$1,0))</f>
        <v>M</v>
      </c>
      <c r="K572" s="4">
        <f>INDEX(products!$A$1:$G$49,MATCH($D572,products!$A$1:$A$49,0),MATCH(orders!K$1,products!$A$1:$G$1,0))</f>
        <v>0.5</v>
      </c>
      <c r="L572" s="5">
        <f>INDEX(products!$A$1:$G$49,MATCH($D572,products!$A$1:$A$49,0),MATCH(orders!L$1,products!$A$1:$G$1,0))</f>
        <v>6.75</v>
      </c>
      <c r="M572" s="5">
        <f t="shared" si="16"/>
        <v>27</v>
      </c>
      <c r="N572" t="str">
        <f>IF(I572="Rob","Robusta",IF(I572="Exc","Excelsa",IF(I572="Ara","Arabica",IF(I572="Lib","Liberica",""))))</f>
        <v>Arabica</v>
      </c>
      <c r="O572" t="str">
        <f t="shared" si="17"/>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INDEX(products!$A$1:$G$49,MATCH($D573,products!$A$1:$A$49,0),MATCH(orders!I$1,products!$A$1:$G$1,0))</f>
        <v>Exc</v>
      </c>
      <c r="J573" t="str">
        <f>INDEX(products!$A$1:$G$49,MATCH($D573,products!$A$1:$A$49,0),MATCH(orders!J$1,products!$A$1:$G$1,0))</f>
        <v>L</v>
      </c>
      <c r="K573" s="4">
        <f>INDEX(products!$A$1:$G$49,MATCH($D573,products!$A$1:$A$49,0),MATCH(orders!K$1,products!$A$1:$G$1,0))</f>
        <v>0.5</v>
      </c>
      <c r="L573" s="5">
        <f>INDEX(products!$A$1:$G$49,MATCH($D573,products!$A$1:$A$49,0),MATCH(orders!L$1,products!$A$1:$G$1,0))</f>
        <v>8.91</v>
      </c>
      <c r="M573" s="5">
        <f t="shared" si="16"/>
        <v>35.64</v>
      </c>
      <c r="N573" t="str">
        <f>IF(I573="Rob","Robusta",IF(I573="Exc","Excelsa",IF(I573="Ara","Arabica",IF(I573="Lib","Liberica",""))))</f>
        <v>Excelsa</v>
      </c>
      <c r="O573" t="str">
        <f t="shared" si="17"/>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INDEX(products!$A$1:$G$49,MATCH($D574,products!$A$1:$A$49,0),MATCH(orders!I$1,products!$A$1:$G$1,0))</f>
        <v>Ara</v>
      </c>
      <c r="J574" t="str">
        <f>INDEX(products!$A$1:$G$49,MATCH($D574,products!$A$1:$A$49,0),MATCH(orders!J$1,products!$A$1:$G$1,0))</f>
        <v>D</v>
      </c>
      <c r="K574" s="4">
        <f>INDEX(products!$A$1:$G$49,MATCH($D574,products!$A$1:$A$49,0),MATCH(orders!K$1,products!$A$1:$G$1,0))</f>
        <v>0.2</v>
      </c>
      <c r="L574" s="5">
        <f>INDEX(products!$A$1:$G$49,MATCH($D574,products!$A$1:$A$49,0),MATCH(orders!L$1,products!$A$1:$G$1,0))</f>
        <v>2.9849999999999999</v>
      </c>
      <c r="M574" s="5">
        <f t="shared" si="16"/>
        <v>5.97</v>
      </c>
      <c r="N574" t="str">
        <f>IF(I574="Rob","Robusta",IF(I574="Exc","Excelsa",IF(I574="Ara","Arabica",IF(I574="Lib","Liberica",""))))</f>
        <v>Arabica</v>
      </c>
      <c r="O574" t="str">
        <f t="shared" si="17"/>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INDEX(products!$A$1:$G$49,MATCH($D575,products!$A$1:$A$49,0),MATCH(orders!I$1,products!$A$1:$G$1,0))</f>
        <v>Ara</v>
      </c>
      <c r="J575" t="str">
        <f>INDEX(products!$A$1:$G$49,MATCH($D575,products!$A$1:$A$49,0),MATCH(orders!J$1,products!$A$1:$G$1,0))</f>
        <v>M</v>
      </c>
      <c r="K575" s="4">
        <f>INDEX(products!$A$1:$G$49,MATCH($D575,products!$A$1:$A$49,0),MATCH(orders!K$1,products!$A$1:$G$1,0))</f>
        <v>1</v>
      </c>
      <c r="L575" s="5">
        <f>INDEX(products!$A$1:$G$49,MATCH($D575,products!$A$1:$A$49,0),MATCH(orders!L$1,products!$A$1:$G$1,0))</f>
        <v>11.25</v>
      </c>
      <c r="M575" s="5">
        <f t="shared" si="16"/>
        <v>67.5</v>
      </c>
      <c r="N575" t="str">
        <f>IF(I575="Rob","Robusta",IF(I575="Exc","Excelsa",IF(I575="Ara","Arabica",IF(I575="Lib","Liberica",""))))</f>
        <v>Arabica</v>
      </c>
      <c r="O575" t="str">
        <f t="shared" si="17"/>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INDEX(products!$A$1:$G$49,MATCH($D576,products!$A$1:$A$49,0),MATCH(orders!I$1,products!$A$1:$G$1,0))</f>
        <v>Rob</v>
      </c>
      <c r="J576" t="str">
        <f>INDEX(products!$A$1:$G$49,MATCH($D576,products!$A$1:$A$49,0),MATCH(orders!J$1,products!$A$1:$G$1,0))</f>
        <v>L</v>
      </c>
      <c r="K576" s="4">
        <f>INDEX(products!$A$1:$G$49,MATCH($D576,products!$A$1:$A$49,0),MATCH(orders!K$1,products!$A$1:$G$1,0))</f>
        <v>0.2</v>
      </c>
      <c r="L576" s="5">
        <f>INDEX(products!$A$1:$G$49,MATCH($D576,products!$A$1:$A$49,0),MATCH(orders!L$1,products!$A$1:$G$1,0))</f>
        <v>3.5849999999999995</v>
      </c>
      <c r="M576" s="5">
        <f t="shared" si="16"/>
        <v>21.509999999999998</v>
      </c>
      <c r="N576" t="str">
        <f>IF(I576="Rob","Robusta",IF(I576="Exc","Excelsa",IF(I576="Ara","Arabica",IF(I576="Lib","Liberica",""))))</f>
        <v>Robusta</v>
      </c>
      <c r="O576" t="str">
        <f t="shared" si="17"/>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INDEX(products!$A$1:$G$49,MATCH($D577,products!$A$1:$A$49,0),MATCH(orders!I$1,products!$A$1:$G$1,0))</f>
        <v>Lib</v>
      </c>
      <c r="J577" t="str">
        <f>INDEX(products!$A$1:$G$49,MATCH($D577,products!$A$1:$A$49,0),MATCH(orders!J$1,products!$A$1:$G$1,0))</f>
        <v>M</v>
      </c>
      <c r="K577" s="4">
        <f>INDEX(products!$A$1:$G$49,MATCH($D577,products!$A$1:$A$49,0),MATCH(orders!K$1,products!$A$1:$G$1,0))</f>
        <v>2.5</v>
      </c>
      <c r="L577" s="5">
        <f>INDEX(products!$A$1:$G$49,MATCH($D577,products!$A$1:$A$49,0),MATCH(orders!L$1,products!$A$1:$G$1,0))</f>
        <v>33.464999999999996</v>
      </c>
      <c r="M577" s="5">
        <f t="shared" si="16"/>
        <v>66.929999999999993</v>
      </c>
      <c r="N577" t="str">
        <f>IF(I577="Rob","Robusta",IF(I577="Exc","Excelsa",IF(I577="Ara","Arabica",IF(I577="Lib","Liberica",""))))</f>
        <v>Liberica</v>
      </c>
      <c r="O577" t="str">
        <f t="shared" si="17"/>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INDEX(products!$A$1:$G$49,MATCH($D578,products!$A$1:$A$49,0),MATCH(orders!I$1,products!$A$1:$G$1,0))</f>
        <v>Ara</v>
      </c>
      <c r="J578" t="str">
        <f>INDEX(products!$A$1:$G$49,MATCH($D578,products!$A$1:$A$49,0),MATCH(orders!J$1,products!$A$1:$G$1,0))</f>
        <v>D</v>
      </c>
      <c r="K578" s="4">
        <f>INDEX(products!$A$1:$G$49,MATCH($D578,products!$A$1:$A$49,0),MATCH(orders!K$1,products!$A$1:$G$1,0))</f>
        <v>0.2</v>
      </c>
      <c r="L578" s="5">
        <f>INDEX(products!$A$1:$G$49,MATCH($D578,products!$A$1:$A$49,0),MATCH(orders!L$1,products!$A$1:$G$1,0))</f>
        <v>2.9849999999999999</v>
      </c>
      <c r="M578" s="5">
        <f t="shared" si="16"/>
        <v>17.91</v>
      </c>
      <c r="N578" t="str">
        <f>IF(I578="Rob","Robusta",IF(I578="Exc","Excelsa",IF(I578="Ara","Arabica",IF(I578="Lib","Liberica",""))))</f>
        <v>Arabica</v>
      </c>
      <c r="O578" t="str">
        <f t="shared" si="17"/>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INDEX(products!$A$1:$G$49,MATCH($D579,products!$A$1:$A$49,0),MATCH(orders!I$1,products!$A$1:$G$1,0))</f>
        <v>Lib</v>
      </c>
      <c r="J579" t="str">
        <f>INDEX(products!$A$1:$G$49,MATCH($D579,products!$A$1:$A$49,0),MATCH(orders!J$1,products!$A$1:$G$1,0))</f>
        <v>M</v>
      </c>
      <c r="K579" s="4">
        <f>INDEX(products!$A$1:$G$49,MATCH($D579,products!$A$1:$A$49,0),MATCH(orders!K$1,products!$A$1:$G$1,0))</f>
        <v>1</v>
      </c>
      <c r="L579" s="5">
        <f>INDEX(products!$A$1:$G$49,MATCH($D579,products!$A$1:$A$49,0),MATCH(orders!L$1,products!$A$1:$G$1,0))</f>
        <v>14.55</v>
      </c>
      <c r="M579" s="5">
        <f t="shared" ref="M579:M642" si="18">L579*E579</f>
        <v>58.2</v>
      </c>
      <c r="N579" t="str">
        <f>IF(I579="Rob","Robusta",IF(I579="Exc","Excelsa",IF(I579="Ara","Arabica",IF(I579="Lib","Liberica",""))))</f>
        <v>Liberica</v>
      </c>
      <c r="O579" t="str">
        <f t="shared" ref="O579:O642" si="1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INDEX(products!$A$1:$G$49,MATCH($D580,products!$A$1:$A$49,0),MATCH(orders!I$1,products!$A$1:$G$1,0))</f>
        <v>Exc</v>
      </c>
      <c r="J580" t="str">
        <f>INDEX(products!$A$1:$G$49,MATCH($D580,products!$A$1:$A$49,0),MATCH(orders!J$1,products!$A$1:$G$1,0))</f>
        <v>L</v>
      </c>
      <c r="K580" s="4">
        <f>INDEX(products!$A$1:$G$49,MATCH($D580,products!$A$1:$A$49,0),MATCH(orders!K$1,products!$A$1:$G$1,0))</f>
        <v>0.2</v>
      </c>
      <c r="L580" s="5">
        <f>INDEX(products!$A$1:$G$49,MATCH($D580,products!$A$1:$A$49,0),MATCH(orders!L$1,products!$A$1:$G$1,0))</f>
        <v>4.4550000000000001</v>
      </c>
      <c r="M580" s="5">
        <f t="shared" si="18"/>
        <v>13.365</v>
      </c>
      <c r="N580" t="str">
        <f>IF(I580="Rob","Robusta",IF(I580="Exc","Excelsa",IF(I580="Ara","Arabica",IF(I580="Lib","Liberica",""))))</f>
        <v>Excelsa</v>
      </c>
      <c r="O580" t="str">
        <f t="shared" si="1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INDEX(products!$A$1:$G$49,MATCH($D581,products!$A$1:$A$49,0),MATCH(orders!I$1,products!$A$1:$G$1,0))</f>
        <v>Ara</v>
      </c>
      <c r="J581" t="str">
        <f>INDEX(products!$A$1:$G$49,MATCH($D581,products!$A$1:$A$49,0),MATCH(orders!J$1,products!$A$1:$G$1,0))</f>
        <v>M</v>
      </c>
      <c r="K581" s="4">
        <f>INDEX(products!$A$1:$G$49,MATCH($D581,products!$A$1:$A$49,0),MATCH(orders!K$1,products!$A$1:$G$1,0))</f>
        <v>0.5</v>
      </c>
      <c r="L581" s="5">
        <f>INDEX(products!$A$1:$G$49,MATCH($D581,products!$A$1:$A$49,0),MATCH(orders!L$1,products!$A$1:$G$1,0))</f>
        <v>6.75</v>
      </c>
      <c r="M581" s="5">
        <f t="shared" si="18"/>
        <v>33.75</v>
      </c>
      <c r="N581" t="str">
        <f>IF(I581="Rob","Robusta",IF(I581="Exc","Excelsa",IF(I581="Ara","Arabica",IF(I581="Lib","Liberica",""))))</f>
        <v>Arabica</v>
      </c>
      <c r="O581" t="str">
        <f t="shared" si="1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INDEX(products!$A$1:$G$49,MATCH($D582,products!$A$1:$A$49,0),MATCH(orders!I$1,products!$A$1:$G$1,0))</f>
        <v>Exc</v>
      </c>
      <c r="J582" t="str">
        <f>INDEX(products!$A$1:$G$49,MATCH($D582,products!$A$1:$A$49,0),MATCH(orders!J$1,products!$A$1:$G$1,0))</f>
        <v>L</v>
      </c>
      <c r="K582" s="4">
        <f>INDEX(products!$A$1:$G$49,MATCH($D582,products!$A$1:$A$49,0),MATCH(orders!K$1,products!$A$1:$G$1,0))</f>
        <v>1</v>
      </c>
      <c r="L582" s="5">
        <f>INDEX(products!$A$1:$G$49,MATCH($D582,products!$A$1:$A$49,0),MATCH(orders!L$1,products!$A$1:$G$1,0))</f>
        <v>14.85</v>
      </c>
      <c r="M582" s="5">
        <f t="shared" si="18"/>
        <v>44.55</v>
      </c>
      <c r="N582" t="str">
        <f>IF(I582="Rob","Robusta",IF(I582="Exc","Excelsa",IF(I582="Ara","Arabica",IF(I582="Lib","Liberica",""))))</f>
        <v>Excelsa</v>
      </c>
      <c r="O582" t="str">
        <f t="shared" si="1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INDEX(products!$A$1:$G$49,MATCH($D583,products!$A$1:$A$49,0),MATCH(orders!I$1,products!$A$1:$G$1,0))</f>
        <v>Exc</v>
      </c>
      <c r="J583" t="str">
        <f>INDEX(products!$A$1:$G$49,MATCH($D583,products!$A$1:$A$49,0),MATCH(orders!J$1,products!$A$1:$G$1,0))</f>
        <v>L</v>
      </c>
      <c r="K583" s="4">
        <f>INDEX(products!$A$1:$G$49,MATCH($D583,products!$A$1:$A$49,0),MATCH(orders!K$1,products!$A$1:$G$1,0))</f>
        <v>0.5</v>
      </c>
      <c r="L583" s="5">
        <f>INDEX(products!$A$1:$G$49,MATCH($D583,products!$A$1:$A$49,0),MATCH(orders!L$1,products!$A$1:$G$1,0))</f>
        <v>8.91</v>
      </c>
      <c r="M583" s="5">
        <f t="shared" si="18"/>
        <v>44.55</v>
      </c>
      <c r="N583" t="str">
        <f>IF(I583="Rob","Robusta",IF(I583="Exc","Excelsa",IF(I583="Ara","Arabica",IF(I583="Lib","Liberica",""))))</f>
        <v>Excelsa</v>
      </c>
      <c r="O583" t="str">
        <f t="shared" si="1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INDEX(products!$A$1:$G$49,MATCH($D584,products!$A$1:$A$49,0),MATCH(orders!I$1,products!$A$1:$G$1,0))</f>
        <v>Exc</v>
      </c>
      <c r="J584" t="str">
        <f>INDEX(products!$A$1:$G$49,MATCH($D584,products!$A$1:$A$49,0),MATCH(orders!J$1,products!$A$1:$G$1,0))</f>
        <v>D</v>
      </c>
      <c r="K584" s="4">
        <f>INDEX(products!$A$1:$G$49,MATCH($D584,products!$A$1:$A$49,0),MATCH(orders!K$1,products!$A$1:$G$1,0))</f>
        <v>1</v>
      </c>
      <c r="L584" s="5">
        <f>INDEX(products!$A$1:$G$49,MATCH($D584,products!$A$1:$A$49,0),MATCH(orders!L$1,products!$A$1:$G$1,0))</f>
        <v>12.15</v>
      </c>
      <c r="M584" s="5">
        <f t="shared" si="18"/>
        <v>60.75</v>
      </c>
      <c r="N584" t="str">
        <f>IF(I584="Rob","Robusta",IF(I584="Exc","Excelsa",IF(I584="Ara","Arabica",IF(I584="Lib","Liberica",""))))</f>
        <v>Excelsa</v>
      </c>
      <c r="O584" t="str">
        <f t="shared" si="1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INDEX(products!$A$1:$G$49,MATCH($D585,products!$A$1:$A$49,0),MATCH(orders!I$1,products!$A$1:$G$1,0))</f>
        <v>Rob</v>
      </c>
      <c r="J585" t="str">
        <f>INDEX(products!$A$1:$G$49,MATCH($D585,products!$A$1:$A$49,0),MATCH(orders!J$1,products!$A$1:$G$1,0))</f>
        <v>L</v>
      </c>
      <c r="K585" s="4">
        <f>INDEX(products!$A$1:$G$49,MATCH($D585,products!$A$1:$A$49,0),MATCH(orders!K$1,products!$A$1:$G$1,0))</f>
        <v>0.2</v>
      </c>
      <c r="L585" s="5">
        <f>INDEX(products!$A$1:$G$49,MATCH($D585,products!$A$1:$A$49,0),MATCH(orders!L$1,products!$A$1:$G$1,0))</f>
        <v>3.5849999999999995</v>
      </c>
      <c r="M585" s="5">
        <f t="shared" si="18"/>
        <v>3.5849999999999995</v>
      </c>
      <c r="N585" t="str">
        <f>IF(I585="Rob","Robusta",IF(I585="Exc","Excelsa",IF(I585="Ara","Arabica",IF(I585="Lib","Liberica",""))))</f>
        <v>Robusta</v>
      </c>
      <c r="O585" t="str">
        <f t="shared" si="1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INDEX(products!$A$1:$G$49,MATCH($D586,products!$A$1:$A$49,0),MATCH(orders!I$1,products!$A$1:$G$1,0))</f>
        <v>Rob</v>
      </c>
      <c r="J586" t="str">
        <f>INDEX(products!$A$1:$G$49,MATCH($D586,products!$A$1:$A$49,0),MATCH(orders!J$1,products!$A$1:$G$1,0))</f>
        <v>L</v>
      </c>
      <c r="K586" s="4">
        <f>INDEX(products!$A$1:$G$49,MATCH($D586,products!$A$1:$A$49,0),MATCH(orders!K$1,products!$A$1:$G$1,0))</f>
        <v>0.2</v>
      </c>
      <c r="L586" s="5">
        <f>INDEX(products!$A$1:$G$49,MATCH($D586,products!$A$1:$A$49,0),MATCH(orders!L$1,products!$A$1:$G$1,0))</f>
        <v>3.5849999999999995</v>
      </c>
      <c r="M586" s="5">
        <f t="shared" si="18"/>
        <v>21.509999999999998</v>
      </c>
      <c r="N586" t="str">
        <f>IF(I586="Rob","Robusta",IF(I586="Exc","Excelsa",IF(I586="Ara","Arabica",IF(I586="Lib","Liberica",""))))</f>
        <v>Robusta</v>
      </c>
      <c r="O586" t="str">
        <f t="shared" si="1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INDEX(products!$A$1:$G$49,MATCH($D587,products!$A$1:$A$49,0),MATCH(orders!I$1,products!$A$1:$G$1,0))</f>
        <v>Exc</v>
      </c>
      <c r="J587" t="str">
        <f>INDEX(products!$A$1:$G$49,MATCH($D587,products!$A$1:$A$49,0),MATCH(orders!J$1,products!$A$1:$G$1,0))</f>
        <v>M</v>
      </c>
      <c r="K587" s="4">
        <f>INDEX(products!$A$1:$G$49,MATCH($D587,products!$A$1:$A$49,0),MATCH(orders!K$1,products!$A$1:$G$1,0))</f>
        <v>0.5</v>
      </c>
      <c r="L587" s="5">
        <f>INDEX(products!$A$1:$G$49,MATCH($D587,products!$A$1:$A$49,0),MATCH(orders!L$1,products!$A$1:$G$1,0))</f>
        <v>8.25</v>
      </c>
      <c r="M587" s="5">
        <f t="shared" si="18"/>
        <v>16.5</v>
      </c>
      <c r="N587" t="str">
        <f>IF(I587="Rob","Robusta",IF(I587="Exc","Excelsa",IF(I587="Ara","Arabica",IF(I587="Lib","Liberica",""))))</f>
        <v>Excelsa</v>
      </c>
      <c r="O587" t="str">
        <f t="shared" si="1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INDEX(products!$A$1:$G$49,MATCH($D588,products!$A$1:$A$49,0),MATCH(orders!I$1,products!$A$1:$G$1,0))</f>
        <v>Rob</v>
      </c>
      <c r="J588" t="str">
        <f>INDEX(products!$A$1:$G$49,MATCH($D588,products!$A$1:$A$49,0),MATCH(orders!J$1,products!$A$1:$G$1,0))</f>
        <v>L</v>
      </c>
      <c r="K588" s="4">
        <f>INDEX(products!$A$1:$G$49,MATCH($D588,products!$A$1:$A$49,0),MATCH(orders!K$1,products!$A$1:$G$1,0))</f>
        <v>2.5</v>
      </c>
      <c r="L588" s="5">
        <f>INDEX(products!$A$1:$G$49,MATCH($D588,products!$A$1:$A$49,0),MATCH(orders!L$1,products!$A$1:$G$1,0))</f>
        <v>27.484999999999996</v>
      </c>
      <c r="M588" s="5">
        <f t="shared" si="18"/>
        <v>82.454999999999984</v>
      </c>
      <c r="N588" t="str">
        <f>IF(I588="Rob","Robusta",IF(I588="Exc","Excelsa",IF(I588="Ara","Arabica",IF(I588="Lib","Liberica",""))))</f>
        <v>Robusta</v>
      </c>
      <c r="O588" t="str">
        <f t="shared" si="1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INDEX(products!$A$1:$G$49,MATCH($D589,products!$A$1:$A$49,0),MATCH(orders!I$1,products!$A$1:$G$1,0))</f>
        <v>Lib</v>
      </c>
      <c r="J589" t="str">
        <f>INDEX(products!$A$1:$G$49,MATCH($D589,products!$A$1:$A$49,0),MATCH(orders!J$1,products!$A$1:$G$1,0))</f>
        <v>D</v>
      </c>
      <c r="K589" s="4">
        <f>INDEX(products!$A$1:$G$49,MATCH($D589,products!$A$1:$A$49,0),MATCH(orders!K$1,products!$A$1:$G$1,0))</f>
        <v>0.5</v>
      </c>
      <c r="L589" s="5">
        <f>INDEX(products!$A$1:$G$49,MATCH($D589,products!$A$1:$A$49,0),MATCH(orders!L$1,products!$A$1:$G$1,0))</f>
        <v>7.77</v>
      </c>
      <c r="M589" s="5">
        <f t="shared" si="18"/>
        <v>7.77</v>
      </c>
      <c r="N589" t="str">
        <f>IF(I589="Rob","Robusta",IF(I589="Exc","Excelsa",IF(I589="Ara","Arabica",IF(I589="Lib","Liberica",""))))</f>
        <v>Liberica</v>
      </c>
      <c r="O589" t="str">
        <f t="shared" si="1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INDEX(products!$A$1:$G$49,MATCH($D590,products!$A$1:$A$49,0),MATCH(orders!I$1,products!$A$1:$G$1,0))</f>
        <v>Rob</v>
      </c>
      <c r="J590" t="str">
        <f>INDEX(products!$A$1:$G$49,MATCH($D590,products!$A$1:$A$49,0),MATCH(orders!J$1,products!$A$1:$G$1,0))</f>
        <v>M</v>
      </c>
      <c r="K590" s="4">
        <f>INDEX(products!$A$1:$G$49,MATCH($D590,products!$A$1:$A$49,0),MATCH(orders!K$1,products!$A$1:$G$1,0))</f>
        <v>0.5</v>
      </c>
      <c r="L590" s="5">
        <f>INDEX(products!$A$1:$G$49,MATCH($D590,products!$A$1:$A$49,0),MATCH(orders!L$1,products!$A$1:$G$1,0))</f>
        <v>5.97</v>
      </c>
      <c r="M590" s="5">
        <f t="shared" si="18"/>
        <v>11.94</v>
      </c>
      <c r="N590" t="str">
        <f>IF(I590="Rob","Robusta",IF(I590="Exc","Excelsa",IF(I590="Ara","Arabica",IF(I590="Lib","Liberica",""))))</f>
        <v>Robusta</v>
      </c>
      <c r="O590" t="str">
        <f t="shared" si="1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INDEX(products!$A$1:$G$49,MATCH($D591,products!$A$1:$A$49,0),MATCH(orders!I$1,products!$A$1:$G$1,0))</f>
        <v>Exc</v>
      </c>
      <c r="J591" t="str">
        <f>INDEX(products!$A$1:$G$49,MATCH($D591,products!$A$1:$A$49,0),MATCH(orders!J$1,products!$A$1:$G$1,0))</f>
        <v>L</v>
      </c>
      <c r="K591" s="4">
        <f>INDEX(products!$A$1:$G$49,MATCH($D591,products!$A$1:$A$49,0),MATCH(orders!K$1,products!$A$1:$G$1,0))</f>
        <v>2.5</v>
      </c>
      <c r="L591" s="5">
        <f>INDEX(products!$A$1:$G$49,MATCH($D591,products!$A$1:$A$49,0),MATCH(orders!L$1,products!$A$1:$G$1,0))</f>
        <v>34.154999999999994</v>
      </c>
      <c r="M591" s="5">
        <f t="shared" si="18"/>
        <v>204.92999999999995</v>
      </c>
      <c r="N591" t="str">
        <f>IF(I591="Rob","Robusta",IF(I591="Exc","Excelsa",IF(I591="Ara","Arabica",IF(I591="Lib","Liberica",""))))</f>
        <v>Excelsa</v>
      </c>
      <c r="O591" t="str">
        <f t="shared" si="1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INDEX(products!$A$1:$G$49,MATCH($D592,products!$A$1:$A$49,0),MATCH(orders!I$1,products!$A$1:$G$1,0))</f>
        <v>Exc</v>
      </c>
      <c r="J592" t="str">
        <f>INDEX(products!$A$1:$G$49,MATCH($D592,products!$A$1:$A$49,0),MATCH(orders!J$1,products!$A$1:$G$1,0))</f>
        <v>M</v>
      </c>
      <c r="K592" s="4">
        <f>INDEX(products!$A$1:$G$49,MATCH($D592,products!$A$1:$A$49,0),MATCH(orders!K$1,products!$A$1:$G$1,0))</f>
        <v>2.5</v>
      </c>
      <c r="L592" s="5">
        <f>INDEX(products!$A$1:$G$49,MATCH($D592,products!$A$1:$A$49,0),MATCH(orders!L$1,products!$A$1:$G$1,0))</f>
        <v>31.624999999999996</v>
      </c>
      <c r="M592" s="5">
        <f t="shared" si="18"/>
        <v>63.249999999999993</v>
      </c>
      <c r="N592" t="str">
        <f>IF(I592="Rob","Robusta",IF(I592="Exc","Excelsa",IF(I592="Ara","Arabica",IF(I592="Lib","Liberica",""))))</f>
        <v>Excelsa</v>
      </c>
      <c r="O592" t="str">
        <f t="shared" si="1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INDEX(products!$A$1:$G$49,MATCH($D593,products!$A$1:$A$49,0),MATCH(orders!I$1,products!$A$1:$G$1,0))</f>
        <v>Rob</v>
      </c>
      <c r="J593" t="str">
        <f>INDEX(products!$A$1:$G$49,MATCH($D593,products!$A$1:$A$49,0),MATCH(orders!J$1,products!$A$1:$G$1,0))</f>
        <v>D</v>
      </c>
      <c r="K593" s="4">
        <f>INDEX(products!$A$1:$G$49,MATCH($D593,products!$A$1:$A$49,0),MATCH(orders!K$1,products!$A$1:$G$1,0))</f>
        <v>0.2</v>
      </c>
      <c r="L593" s="5">
        <f>INDEX(products!$A$1:$G$49,MATCH($D593,products!$A$1:$A$49,0),MATCH(orders!L$1,products!$A$1:$G$1,0))</f>
        <v>2.6849999999999996</v>
      </c>
      <c r="M593" s="5">
        <f t="shared" si="18"/>
        <v>8.0549999999999997</v>
      </c>
      <c r="N593" t="str">
        <f>IF(I593="Rob","Robusta",IF(I593="Exc","Excelsa",IF(I593="Ara","Arabica",IF(I593="Lib","Liberica",""))))</f>
        <v>Robusta</v>
      </c>
      <c r="O593" t="str">
        <f t="shared" si="1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INDEX(products!$A$1:$G$49,MATCH($D594,products!$A$1:$A$49,0),MATCH(orders!I$1,products!$A$1:$G$1,0))</f>
        <v>Ara</v>
      </c>
      <c r="J594" t="str">
        <f>INDEX(products!$A$1:$G$49,MATCH($D594,products!$A$1:$A$49,0),MATCH(orders!J$1,products!$A$1:$G$1,0))</f>
        <v>M</v>
      </c>
      <c r="K594" s="4">
        <f>INDEX(products!$A$1:$G$49,MATCH($D594,products!$A$1:$A$49,0),MATCH(orders!K$1,products!$A$1:$G$1,0))</f>
        <v>2.5</v>
      </c>
      <c r="L594" s="5">
        <f>INDEX(products!$A$1:$G$49,MATCH($D594,products!$A$1:$A$49,0),MATCH(orders!L$1,products!$A$1:$G$1,0))</f>
        <v>25.874999999999996</v>
      </c>
      <c r="M594" s="5">
        <f t="shared" si="18"/>
        <v>51.749999999999993</v>
      </c>
      <c r="N594" t="str">
        <f>IF(I594="Rob","Robusta",IF(I594="Exc","Excelsa",IF(I594="Ara","Arabica",IF(I594="Lib","Liberica",""))))</f>
        <v>Arabica</v>
      </c>
      <c r="O594" t="str">
        <f t="shared" si="1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INDEX(products!$A$1:$G$49,MATCH($D595,products!$A$1:$A$49,0),MATCH(orders!I$1,products!$A$1:$G$1,0))</f>
        <v>Exc</v>
      </c>
      <c r="J595" t="str">
        <f>INDEX(products!$A$1:$G$49,MATCH($D595,products!$A$1:$A$49,0),MATCH(orders!J$1,products!$A$1:$G$1,0))</f>
        <v>D</v>
      </c>
      <c r="K595" s="4">
        <f>INDEX(products!$A$1:$G$49,MATCH($D595,products!$A$1:$A$49,0),MATCH(orders!K$1,products!$A$1:$G$1,0))</f>
        <v>2.5</v>
      </c>
      <c r="L595" s="5">
        <f>INDEX(products!$A$1:$G$49,MATCH($D595,products!$A$1:$A$49,0),MATCH(orders!L$1,products!$A$1:$G$1,0))</f>
        <v>27.945</v>
      </c>
      <c r="M595" s="5">
        <f t="shared" si="18"/>
        <v>27.945</v>
      </c>
      <c r="N595" t="str">
        <f>IF(I595="Rob","Robusta",IF(I595="Exc","Excelsa",IF(I595="Ara","Arabica",IF(I595="Lib","Liberica",""))))</f>
        <v>Excelsa</v>
      </c>
      <c r="O595" t="str">
        <f t="shared" si="1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INDEX(products!$A$1:$G$49,MATCH($D596,products!$A$1:$A$49,0),MATCH(orders!I$1,products!$A$1:$G$1,0))</f>
        <v>Ara</v>
      </c>
      <c r="J596" t="str">
        <f>INDEX(products!$A$1:$G$49,MATCH($D596,products!$A$1:$A$49,0),MATCH(orders!J$1,products!$A$1:$G$1,0))</f>
        <v>L</v>
      </c>
      <c r="K596" s="4">
        <f>INDEX(products!$A$1:$G$49,MATCH($D596,products!$A$1:$A$49,0),MATCH(orders!K$1,products!$A$1:$G$1,0))</f>
        <v>2.5</v>
      </c>
      <c r="L596" s="5">
        <f>INDEX(products!$A$1:$G$49,MATCH($D596,products!$A$1:$A$49,0),MATCH(orders!L$1,products!$A$1:$G$1,0))</f>
        <v>29.784999999999997</v>
      </c>
      <c r="M596" s="5">
        <f t="shared" si="18"/>
        <v>59.569999999999993</v>
      </c>
      <c r="N596" t="str">
        <f>IF(I596="Rob","Robusta",IF(I596="Exc","Excelsa",IF(I596="Ara","Arabica",IF(I596="Lib","Liberica",""))))</f>
        <v>Arabica</v>
      </c>
      <c r="O596" t="str">
        <f t="shared" si="1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INDEX(products!$A$1:$G$49,MATCH($D597,products!$A$1:$A$49,0),MATCH(orders!I$1,products!$A$1:$G$1,0))</f>
        <v>Exc</v>
      </c>
      <c r="J597" t="str">
        <f>INDEX(products!$A$1:$G$49,MATCH($D597,products!$A$1:$A$49,0),MATCH(orders!J$1,products!$A$1:$G$1,0))</f>
        <v>L</v>
      </c>
      <c r="K597" s="4">
        <f>INDEX(products!$A$1:$G$49,MATCH($D597,products!$A$1:$A$49,0),MATCH(orders!K$1,products!$A$1:$G$1,0))</f>
        <v>1</v>
      </c>
      <c r="L597" s="5">
        <f>INDEX(products!$A$1:$G$49,MATCH($D597,products!$A$1:$A$49,0),MATCH(orders!L$1,products!$A$1:$G$1,0))</f>
        <v>14.85</v>
      </c>
      <c r="M597" s="5">
        <f t="shared" si="18"/>
        <v>14.85</v>
      </c>
      <c r="N597" t="str">
        <f>IF(I597="Rob","Robusta",IF(I597="Exc","Excelsa",IF(I597="Ara","Arabica",IF(I597="Lib","Liberica",""))))</f>
        <v>Excelsa</v>
      </c>
      <c r="O597" t="str">
        <f t="shared" si="1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INDEX(products!$A$1:$G$49,MATCH($D598,products!$A$1:$A$49,0),MATCH(orders!I$1,products!$A$1:$G$1,0))</f>
        <v>Ara</v>
      </c>
      <c r="J598" t="str">
        <f>INDEX(products!$A$1:$G$49,MATCH($D598,products!$A$1:$A$49,0),MATCH(orders!J$1,products!$A$1:$G$1,0))</f>
        <v>M</v>
      </c>
      <c r="K598" s="4">
        <f>INDEX(products!$A$1:$G$49,MATCH($D598,products!$A$1:$A$49,0),MATCH(orders!K$1,products!$A$1:$G$1,0))</f>
        <v>0.5</v>
      </c>
      <c r="L598" s="5">
        <f>INDEX(products!$A$1:$G$49,MATCH($D598,products!$A$1:$A$49,0),MATCH(orders!L$1,products!$A$1:$G$1,0))</f>
        <v>6.75</v>
      </c>
      <c r="M598" s="5">
        <f t="shared" si="18"/>
        <v>33.75</v>
      </c>
      <c r="N598" t="str">
        <f>IF(I598="Rob","Robusta",IF(I598="Exc","Excelsa",IF(I598="Ara","Arabica",IF(I598="Lib","Liberica",""))))</f>
        <v>Arabica</v>
      </c>
      <c r="O598" t="str">
        <f t="shared" si="1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INDEX(products!$A$1:$G$49,MATCH($D599,products!$A$1:$A$49,0),MATCH(orders!I$1,products!$A$1:$G$1,0))</f>
        <v>Lib</v>
      </c>
      <c r="J599" t="str">
        <f>INDEX(products!$A$1:$G$49,MATCH($D599,products!$A$1:$A$49,0),MATCH(orders!J$1,products!$A$1:$G$1,0))</f>
        <v>L</v>
      </c>
      <c r="K599" s="4">
        <f>INDEX(products!$A$1:$G$49,MATCH($D599,products!$A$1:$A$49,0),MATCH(orders!K$1,products!$A$1:$G$1,0))</f>
        <v>2.5</v>
      </c>
      <c r="L599" s="5">
        <f>INDEX(products!$A$1:$G$49,MATCH($D599,products!$A$1:$A$49,0),MATCH(orders!L$1,products!$A$1:$G$1,0))</f>
        <v>36.454999999999998</v>
      </c>
      <c r="M599" s="5">
        <f t="shared" si="18"/>
        <v>145.82</v>
      </c>
      <c r="N599" t="str">
        <f>IF(I599="Rob","Robusta",IF(I599="Exc","Excelsa",IF(I599="Ara","Arabica",IF(I599="Lib","Liberica",""))))</f>
        <v>Liberica</v>
      </c>
      <c r="O599" t="str">
        <f t="shared" si="1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INDEX(products!$A$1:$G$49,MATCH($D600,products!$A$1:$A$49,0),MATCH(orders!I$1,products!$A$1:$G$1,0))</f>
        <v>Rob</v>
      </c>
      <c r="J600" t="str">
        <f>INDEX(products!$A$1:$G$49,MATCH($D600,products!$A$1:$A$49,0),MATCH(orders!J$1,products!$A$1:$G$1,0))</f>
        <v>M</v>
      </c>
      <c r="K600" s="4">
        <f>INDEX(products!$A$1:$G$49,MATCH($D600,products!$A$1:$A$49,0),MATCH(orders!K$1,products!$A$1:$G$1,0))</f>
        <v>0.2</v>
      </c>
      <c r="L600" s="5">
        <f>INDEX(products!$A$1:$G$49,MATCH($D600,products!$A$1:$A$49,0),MATCH(orders!L$1,products!$A$1:$G$1,0))</f>
        <v>2.9849999999999999</v>
      </c>
      <c r="M600" s="5">
        <f t="shared" si="18"/>
        <v>11.94</v>
      </c>
      <c r="N600" t="str">
        <f>IF(I600="Rob","Robusta",IF(I600="Exc","Excelsa",IF(I600="Ara","Arabica",IF(I600="Lib","Liberica",""))))</f>
        <v>Robusta</v>
      </c>
      <c r="O600" t="str">
        <f t="shared" si="1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INDEX(products!$A$1:$G$49,MATCH($D601,products!$A$1:$A$49,0),MATCH(orders!I$1,products!$A$1:$G$1,0))</f>
        <v>Ara</v>
      </c>
      <c r="J601" t="str">
        <f>INDEX(products!$A$1:$G$49,MATCH($D601,products!$A$1:$A$49,0),MATCH(orders!J$1,products!$A$1:$G$1,0))</f>
        <v>D</v>
      </c>
      <c r="K601" s="4">
        <f>INDEX(products!$A$1:$G$49,MATCH($D601,products!$A$1:$A$49,0),MATCH(orders!K$1,products!$A$1:$G$1,0))</f>
        <v>0.2</v>
      </c>
      <c r="L601" s="5">
        <f>INDEX(products!$A$1:$G$49,MATCH($D601,products!$A$1:$A$49,0),MATCH(orders!L$1,products!$A$1:$G$1,0))</f>
        <v>2.9849999999999999</v>
      </c>
      <c r="M601" s="5">
        <f t="shared" si="18"/>
        <v>11.94</v>
      </c>
      <c r="N601" t="str">
        <f>IF(I601="Rob","Robusta",IF(I601="Exc","Excelsa",IF(I601="Ara","Arabica",IF(I601="Lib","Liberica",""))))</f>
        <v>Arabica</v>
      </c>
      <c r="O601" t="str">
        <f t="shared" si="1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INDEX(products!$A$1:$G$49,MATCH($D602,products!$A$1:$A$49,0),MATCH(orders!I$1,products!$A$1:$G$1,0))</f>
        <v>Lib</v>
      </c>
      <c r="J602" t="str">
        <f>INDEX(products!$A$1:$G$49,MATCH($D602,products!$A$1:$A$49,0),MATCH(orders!J$1,products!$A$1:$G$1,0))</f>
        <v>D</v>
      </c>
      <c r="K602" s="4">
        <f>INDEX(products!$A$1:$G$49,MATCH($D602,products!$A$1:$A$49,0),MATCH(orders!K$1,products!$A$1:$G$1,0))</f>
        <v>0.5</v>
      </c>
      <c r="L602" s="5">
        <f>INDEX(products!$A$1:$G$49,MATCH($D602,products!$A$1:$A$49,0),MATCH(orders!L$1,products!$A$1:$G$1,0))</f>
        <v>7.77</v>
      </c>
      <c r="M602" s="5">
        <f t="shared" si="18"/>
        <v>7.77</v>
      </c>
      <c r="N602" t="str">
        <f>IF(I602="Rob","Robusta",IF(I602="Exc","Excelsa",IF(I602="Ara","Arabica",IF(I602="Lib","Liberica",""))))</f>
        <v>Liberica</v>
      </c>
      <c r="O602" t="str">
        <f t="shared" si="1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INDEX(products!$A$1:$G$49,MATCH($D603,products!$A$1:$A$49,0),MATCH(orders!I$1,products!$A$1:$G$1,0))</f>
        <v>Rob</v>
      </c>
      <c r="J603" t="str">
        <f>INDEX(products!$A$1:$G$49,MATCH($D603,products!$A$1:$A$49,0),MATCH(orders!J$1,products!$A$1:$G$1,0))</f>
        <v>L</v>
      </c>
      <c r="K603" s="4">
        <f>INDEX(products!$A$1:$G$49,MATCH($D603,products!$A$1:$A$49,0),MATCH(orders!K$1,products!$A$1:$G$1,0))</f>
        <v>2.5</v>
      </c>
      <c r="L603" s="5">
        <f>INDEX(products!$A$1:$G$49,MATCH($D603,products!$A$1:$A$49,0),MATCH(orders!L$1,products!$A$1:$G$1,0))</f>
        <v>27.484999999999996</v>
      </c>
      <c r="M603" s="5">
        <f t="shared" si="18"/>
        <v>109.93999999999998</v>
      </c>
      <c r="N603" t="str">
        <f>IF(I603="Rob","Robusta",IF(I603="Exc","Excelsa",IF(I603="Ara","Arabica",IF(I603="Lib","Liberica",""))))</f>
        <v>Robusta</v>
      </c>
      <c r="O603" t="str">
        <f t="shared" si="1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INDEX(products!$A$1:$G$49,MATCH($D604,products!$A$1:$A$49,0),MATCH(orders!I$1,products!$A$1:$G$1,0))</f>
        <v>Exc</v>
      </c>
      <c r="J604" t="str">
        <f>INDEX(products!$A$1:$G$49,MATCH($D604,products!$A$1:$A$49,0),MATCH(orders!J$1,products!$A$1:$G$1,0))</f>
        <v>L</v>
      </c>
      <c r="K604" s="4">
        <f>INDEX(products!$A$1:$G$49,MATCH($D604,products!$A$1:$A$49,0),MATCH(orders!K$1,products!$A$1:$G$1,0))</f>
        <v>0.2</v>
      </c>
      <c r="L604" s="5">
        <f>INDEX(products!$A$1:$G$49,MATCH($D604,products!$A$1:$A$49,0),MATCH(orders!L$1,products!$A$1:$G$1,0))</f>
        <v>4.4550000000000001</v>
      </c>
      <c r="M604" s="5">
        <f t="shared" si="18"/>
        <v>22.274999999999999</v>
      </c>
      <c r="N604" t="str">
        <f>IF(I604="Rob","Robusta",IF(I604="Exc","Excelsa",IF(I604="Ara","Arabica",IF(I604="Lib","Liberica",""))))</f>
        <v>Excelsa</v>
      </c>
      <c r="O604" t="str">
        <f t="shared" si="1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INDEX(products!$A$1:$G$49,MATCH($D605,products!$A$1:$A$49,0),MATCH(orders!I$1,products!$A$1:$G$1,0))</f>
        <v>Rob</v>
      </c>
      <c r="J605" t="str">
        <f>INDEX(products!$A$1:$G$49,MATCH($D605,products!$A$1:$A$49,0),MATCH(orders!J$1,products!$A$1:$G$1,0))</f>
        <v>M</v>
      </c>
      <c r="K605" s="4">
        <f>INDEX(products!$A$1:$G$49,MATCH($D605,products!$A$1:$A$49,0),MATCH(orders!K$1,products!$A$1:$G$1,0))</f>
        <v>0.2</v>
      </c>
      <c r="L605" s="5">
        <f>INDEX(products!$A$1:$G$49,MATCH($D605,products!$A$1:$A$49,0),MATCH(orders!L$1,products!$A$1:$G$1,0))</f>
        <v>2.9849999999999999</v>
      </c>
      <c r="M605" s="5">
        <f t="shared" si="18"/>
        <v>8.9550000000000001</v>
      </c>
      <c r="N605" t="str">
        <f>IF(I605="Rob","Robusta",IF(I605="Exc","Excelsa",IF(I605="Ara","Arabica",IF(I605="Lib","Liberica",""))))</f>
        <v>Robusta</v>
      </c>
      <c r="O605" t="str">
        <f t="shared" si="1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INDEX(products!$A$1:$G$49,MATCH($D606,products!$A$1:$A$49,0),MATCH(orders!I$1,products!$A$1:$G$1,0))</f>
        <v>Lib</v>
      </c>
      <c r="J606" t="str">
        <f>INDEX(products!$A$1:$G$49,MATCH($D606,products!$A$1:$A$49,0),MATCH(orders!J$1,products!$A$1:$G$1,0))</f>
        <v>D</v>
      </c>
      <c r="K606" s="4">
        <f>INDEX(products!$A$1:$G$49,MATCH($D606,products!$A$1:$A$49,0),MATCH(orders!K$1,products!$A$1:$G$1,0))</f>
        <v>2.5</v>
      </c>
      <c r="L606" s="5">
        <f>INDEX(products!$A$1:$G$49,MATCH($D606,products!$A$1:$A$49,0),MATCH(orders!L$1,products!$A$1:$G$1,0))</f>
        <v>29.784999999999997</v>
      </c>
      <c r="M606" s="5">
        <f t="shared" si="18"/>
        <v>119.13999999999999</v>
      </c>
      <c r="N606" t="str">
        <f>IF(I606="Rob","Robusta",IF(I606="Exc","Excelsa",IF(I606="Ara","Arabica",IF(I606="Lib","Liberica",""))))</f>
        <v>Liberica</v>
      </c>
      <c r="O606" t="str">
        <f t="shared" si="1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INDEX(products!$A$1:$G$49,MATCH($D607,products!$A$1:$A$49,0),MATCH(orders!I$1,products!$A$1:$G$1,0))</f>
        <v>Ara</v>
      </c>
      <c r="J607" t="str">
        <f>INDEX(products!$A$1:$G$49,MATCH($D607,products!$A$1:$A$49,0),MATCH(orders!J$1,products!$A$1:$G$1,0))</f>
        <v>L</v>
      </c>
      <c r="K607" s="4">
        <f>INDEX(products!$A$1:$G$49,MATCH($D607,products!$A$1:$A$49,0),MATCH(orders!K$1,products!$A$1:$G$1,0))</f>
        <v>2.5</v>
      </c>
      <c r="L607" s="5">
        <f>INDEX(products!$A$1:$G$49,MATCH($D607,products!$A$1:$A$49,0),MATCH(orders!L$1,products!$A$1:$G$1,0))</f>
        <v>29.784999999999997</v>
      </c>
      <c r="M607" s="5">
        <f t="shared" si="18"/>
        <v>148.92499999999998</v>
      </c>
      <c r="N607" t="str">
        <f>IF(I607="Rob","Robusta",IF(I607="Exc","Excelsa",IF(I607="Ara","Arabica",IF(I607="Lib","Liberica",""))))</f>
        <v>Arabica</v>
      </c>
      <c r="O607" t="str">
        <f t="shared" si="1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INDEX(products!$A$1:$G$49,MATCH($D608,products!$A$1:$A$49,0),MATCH(orders!I$1,products!$A$1:$G$1,0))</f>
        <v>Lib</v>
      </c>
      <c r="J608" t="str">
        <f>INDEX(products!$A$1:$G$49,MATCH($D608,products!$A$1:$A$49,0),MATCH(orders!J$1,products!$A$1:$G$1,0))</f>
        <v>L</v>
      </c>
      <c r="K608" s="4">
        <f>INDEX(products!$A$1:$G$49,MATCH($D608,products!$A$1:$A$49,0),MATCH(orders!K$1,products!$A$1:$G$1,0))</f>
        <v>2.5</v>
      </c>
      <c r="L608" s="5">
        <f>INDEX(products!$A$1:$G$49,MATCH($D608,products!$A$1:$A$49,0),MATCH(orders!L$1,products!$A$1:$G$1,0))</f>
        <v>36.454999999999998</v>
      </c>
      <c r="M608" s="5">
        <f t="shared" si="18"/>
        <v>109.36499999999999</v>
      </c>
      <c r="N608" t="str">
        <f>IF(I608="Rob","Robusta",IF(I608="Exc","Excelsa",IF(I608="Ara","Arabica",IF(I608="Lib","Liberica",""))))</f>
        <v>Liberica</v>
      </c>
      <c r="O608" t="str">
        <f t="shared" si="1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INDEX(products!$A$1:$G$49,MATCH($D609,products!$A$1:$A$49,0),MATCH(orders!I$1,products!$A$1:$G$1,0))</f>
        <v>Exc</v>
      </c>
      <c r="J609" t="str">
        <f>INDEX(products!$A$1:$G$49,MATCH($D609,products!$A$1:$A$49,0),MATCH(orders!J$1,products!$A$1:$G$1,0))</f>
        <v>D</v>
      </c>
      <c r="K609" s="4">
        <f>INDEX(products!$A$1:$G$49,MATCH($D609,products!$A$1:$A$49,0),MATCH(orders!K$1,products!$A$1:$G$1,0))</f>
        <v>0.2</v>
      </c>
      <c r="L609" s="5">
        <f>INDEX(products!$A$1:$G$49,MATCH($D609,products!$A$1:$A$49,0),MATCH(orders!L$1,products!$A$1:$G$1,0))</f>
        <v>3.645</v>
      </c>
      <c r="M609" s="5">
        <f t="shared" si="18"/>
        <v>3.645</v>
      </c>
      <c r="N609" t="str">
        <f>IF(I609="Rob","Robusta",IF(I609="Exc","Excelsa",IF(I609="Ara","Arabica",IF(I609="Lib","Liberica",""))))</f>
        <v>Excelsa</v>
      </c>
      <c r="O609" t="str">
        <f t="shared" si="1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INDEX(products!$A$1:$G$49,MATCH($D610,products!$A$1:$A$49,0),MATCH(orders!I$1,products!$A$1:$G$1,0))</f>
        <v>Exc</v>
      </c>
      <c r="J610" t="str">
        <f>INDEX(products!$A$1:$G$49,MATCH($D610,products!$A$1:$A$49,0),MATCH(orders!J$1,products!$A$1:$G$1,0))</f>
        <v>D</v>
      </c>
      <c r="K610" s="4">
        <f>INDEX(products!$A$1:$G$49,MATCH($D610,products!$A$1:$A$49,0),MATCH(orders!K$1,products!$A$1:$G$1,0))</f>
        <v>2.5</v>
      </c>
      <c r="L610" s="5">
        <f>INDEX(products!$A$1:$G$49,MATCH($D610,products!$A$1:$A$49,0),MATCH(orders!L$1,products!$A$1:$G$1,0))</f>
        <v>27.945</v>
      </c>
      <c r="M610" s="5">
        <f t="shared" si="18"/>
        <v>55.89</v>
      </c>
      <c r="N610" t="str">
        <f>IF(I610="Rob","Robusta",IF(I610="Exc","Excelsa",IF(I610="Ara","Arabica",IF(I610="Lib","Liberica",""))))</f>
        <v>Excelsa</v>
      </c>
      <c r="O610" t="str">
        <f t="shared" si="1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INDEX(products!$A$1:$G$49,MATCH($D611,products!$A$1:$A$49,0),MATCH(orders!I$1,products!$A$1:$G$1,0))</f>
        <v>Lib</v>
      </c>
      <c r="J611" t="str">
        <f>INDEX(products!$A$1:$G$49,MATCH($D611,products!$A$1:$A$49,0),MATCH(orders!J$1,products!$A$1:$G$1,0))</f>
        <v>M</v>
      </c>
      <c r="K611" s="4">
        <f>INDEX(products!$A$1:$G$49,MATCH($D611,products!$A$1:$A$49,0),MATCH(orders!K$1,products!$A$1:$G$1,0))</f>
        <v>0.2</v>
      </c>
      <c r="L611" s="5">
        <f>INDEX(products!$A$1:$G$49,MATCH($D611,products!$A$1:$A$49,0),MATCH(orders!L$1,products!$A$1:$G$1,0))</f>
        <v>4.3650000000000002</v>
      </c>
      <c r="M611" s="5">
        <f t="shared" si="18"/>
        <v>26.19</v>
      </c>
      <c r="N611" t="str">
        <f>IF(I611="Rob","Robusta",IF(I611="Exc","Excelsa",IF(I611="Ara","Arabica",IF(I611="Lib","Liberica",""))))</f>
        <v>Liberica</v>
      </c>
      <c r="O611" t="str">
        <f t="shared" si="1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INDEX(products!$A$1:$G$49,MATCH($D612,products!$A$1:$A$49,0),MATCH(orders!I$1,products!$A$1:$G$1,0))</f>
        <v>Rob</v>
      </c>
      <c r="J612" t="str">
        <f>INDEX(products!$A$1:$G$49,MATCH($D612,products!$A$1:$A$49,0),MATCH(orders!J$1,products!$A$1:$G$1,0))</f>
        <v>M</v>
      </c>
      <c r="K612" s="4">
        <f>INDEX(products!$A$1:$G$49,MATCH($D612,products!$A$1:$A$49,0),MATCH(orders!K$1,products!$A$1:$G$1,0))</f>
        <v>1</v>
      </c>
      <c r="L612" s="5">
        <f>INDEX(products!$A$1:$G$49,MATCH($D612,products!$A$1:$A$49,0),MATCH(orders!L$1,products!$A$1:$G$1,0))</f>
        <v>9.9499999999999993</v>
      </c>
      <c r="M612" s="5">
        <f t="shared" si="18"/>
        <v>39.799999999999997</v>
      </c>
      <c r="N612" t="str">
        <f>IF(I612="Rob","Robusta",IF(I612="Exc","Excelsa",IF(I612="Ara","Arabica",IF(I612="Lib","Liberica",""))))</f>
        <v>Robusta</v>
      </c>
      <c r="O612" t="str">
        <f t="shared" si="1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INDEX(products!$A$1:$G$49,MATCH($D613,products!$A$1:$A$49,0),MATCH(orders!I$1,products!$A$1:$G$1,0))</f>
        <v>Exc</v>
      </c>
      <c r="J613" t="str">
        <f>INDEX(products!$A$1:$G$49,MATCH($D613,products!$A$1:$A$49,0),MATCH(orders!J$1,products!$A$1:$G$1,0))</f>
        <v>L</v>
      </c>
      <c r="K613" s="4">
        <f>INDEX(products!$A$1:$G$49,MATCH($D613,products!$A$1:$A$49,0),MATCH(orders!K$1,products!$A$1:$G$1,0))</f>
        <v>2.5</v>
      </c>
      <c r="L613" s="5">
        <f>INDEX(products!$A$1:$G$49,MATCH($D613,products!$A$1:$A$49,0),MATCH(orders!L$1,products!$A$1:$G$1,0))</f>
        <v>34.154999999999994</v>
      </c>
      <c r="M613" s="5">
        <f t="shared" si="18"/>
        <v>68.309999999999988</v>
      </c>
      <c r="N613" t="str">
        <f>IF(I613="Rob","Robusta",IF(I613="Exc","Excelsa",IF(I613="Ara","Arabica",IF(I613="Lib","Liberica",""))))</f>
        <v>Excelsa</v>
      </c>
      <c r="O613" t="str">
        <f t="shared" si="1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INDEX(products!$A$1:$G$49,MATCH($D614,products!$A$1:$A$49,0),MATCH(orders!I$1,products!$A$1:$G$1,0))</f>
        <v>Ara</v>
      </c>
      <c r="J614" t="str">
        <f>INDEX(products!$A$1:$G$49,MATCH($D614,products!$A$1:$A$49,0),MATCH(orders!J$1,products!$A$1:$G$1,0))</f>
        <v>M</v>
      </c>
      <c r="K614" s="4">
        <f>INDEX(products!$A$1:$G$49,MATCH($D614,products!$A$1:$A$49,0),MATCH(orders!K$1,products!$A$1:$G$1,0))</f>
        <v>0.2</v>
      </c>
      <c r="L614" s="5">
        <f>INDEX(products!$A$1:$G$49,MATCH($D614,products!$A$1:$A$49,0),MATCH(orders!L$1,products!$A$1:$G$1,0))</f>
        <v>3.375</v>
      </c>
      <c r="M614" s="5">
        <f t="shared" si="18"/>
        <v>13.5</v>
      </c>
      <c r="N614" t="str">
        <f>IF(I614="Rob","Robusta",IF(I614="Exc","Excelsa",IF(I614="Ara","Arabica",IF(I614="Lib","Liberica",""))))</f>
        <v>Arabica</v>
      </c>
      <c r="O614" t="str">
        <f t="shared" si="1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INDEX(products!$A$1:$G$49,MATCH($D615,products!$A$1:$A$49,0),MATCH(orders!I$1,products!$A$1:$G$1,0))</f>
        <v>Rob</v>
      </c>
      <c r="J615" t="str">
        <f>INDEX(products!$A$1:$G$49,MATCH($D615,products!$A$1:$A$49,0),MATCH(orders!J$1,products!$A$1:$G$1,0))</f>
        <v>M</v>
      </c>
      <c r="K615" s="4">
        <f>INDEX(products!$A$1:$G$49,MATCH($D615,products!$A$1:$A$49,0),MATCH(orders!K$1,products!$A$1:$G$1,0))</f>
        <v>0.5</v>
      </c>
      <c r="L615" s="5">
        <f>INDEX(products!$A$1:$G$49,MATCH($D615,products!$A$1:$A$49,0),MATCH(orders!L$1,products!$A$1:$G$1,0))</f>
        <v>5.97</v>
      </c>
      <c r="M615" s="5">
        <f t="shared" si="18"/>
        <v>5.97</v>
      </c>
      <c r="N615" t="str">
        <f>IF(I615="Rob","Robusta",IF(I615="Exc","Excelsa",IF(I615="Ara","Arabica",IF(I615="Lib","Liberica",""))))</f>
        <v>Robusta</v>
      </c>
      <c r="O615" t="str">
        <f t="shared" si="1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INDEX(products!$A$1:$G$49,MATCH($D616,products!$A$1:$A$49,0),MATCH(orders!I$1,products!$A$1:$G$1,0))</f>
        <v>Rob</v>
      </c>
      <c r="J616" t="str">
        <f>INDEX(products!$A$1:$G$49,MATCH($D616,products!$A$1:$A$49,0),MATCH(orders!J$1,products!$A$1:$G$1,0))</f>
        <v>M</v>
      </c>
      <c r="K616" s="4">
        <f>INDEX(products!$A$1:$G$49,MATCH($D616,products!$A$1:$A$49,0),MATCH(orders!K$1,products!$A$1:$G$1,0))</f>
        <v>0.5</v>
      </c>
      <c r="L616" s="5">
        <f>INDEX(products!$A$1:$G$49,MATCH($D616,products!$A$1:$A$49,0),MATCH(orders!L$1,products!$A$1:$G$1,0))</f>
        <v>5.97</v>
      </c>
      <c r="M616" s="5">
        <f t="shared" si="18"/>
        <v>29.849999999999998</v>
      </c>
      <c r="N616" t="str">
        <f>IF(I616="Rob","Robusta",IF(I616="Exc","Excelsa",IF(I616="Ara","Arabica",IF(I616="Lib","Liberica",""))))</f>
        <v>Robusta</v>
      </c>
      <c r="O616" t="str">
        <f t="shared" si="1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INDEX(products!$A$1:$G$49,MATCH($D617,products!$A$1:$A$49,0),MATCH(orders!I$1,products!$A$1:$G$1,0))</f>
        <v>Lib</v>
      </c>
      <c r="J617" t="str">
        <f>INDEX(products!$A$1:$G$49,MATCH($D617,products!$A$1:$A$49,0),MATCH(orders!J$1,products!$A$1:$G$1,0))</f>
        <v>L</v>
      </c>
      <c r="K617" s="4">
        <f>INDEX(products!$A$1:$G$49,MATCH($D617,products!$A$1:$A$49,0),MATCH(orders!K$1,products!$A$1:$G$1,0))</f>
        <v>2.5</v>
      </c>
      <c r="L617" s="5">
        <f>INDEX(products!$A$1:$G$49,MATCH($D617,products!$A$1:$A$49,0),MATCH(orders!L$1,products!$A$1:$G$1,0))</f>
        <v>36.454999999999998</v>
      </c>
      <c r="M617" s="5">
        <f t="shared" si="18"/>
        <v>72.91</v>
      </c>
      <c r="N617" t="str">
        <f>IF(I617="Rob","Robusta",IF(I617="Exc","Excelsa",IF(I617="Ara","Arabica",IF(I617="Lib","Liberica",""))))</f>
        <v>Liberica</v>
      </c>
      <c r="O617" t="str">
        <f t="shared" si="1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INDEX(products!$A$1:$G$49,MATCH($D618,products!$A$1:$A$49,0),MATCH(orders!I$1,products!$A$1:$G$1,0))</f>
        <v>Exc</v>
      </c>
      <c r="J618" t="str">
        <f>INDEX(products!$A$1:$G$49,MATCH($D618,products!$A$1:$A$49,0),MATCH(orders!J$1,products!$A$1:$G$1,0))</f>
        <v>M</v>
      </c>
      <c r="K618" s="4">
        <f>INDEX(products!$A$1:$G$49,MATCH($D618,products!$A$1:$A$49,0),MATCH(orders!K$1,products!$A$1:$G$1,0))</f>
        <v>2.5</v>
      </c>
      <c r="L618" s="5">
        <f>INDEX(products!$A$1:$G$49,MATCH($D618,products!$A$1:$A$49,0),MATCH(orders!L$1,products!$A$1:$G$1,0))</f>
        <v>31.624999999999996</v>
      </c>
      <c r="M618" s="5">
        <f t="shared" si="18"/>
        <v>126.49999999999999</v>
      </c>
      <c r="N618" t="str">
        <f>IF(I618="Rob","Robusta",IF(I618="Exc","Excelsa",IF(I618="Ara","Arabica",IF(I618="Lib","Liberica",""))))</f>
        <v>Excelsa</v>
      </c>
      <c r="O618" t="str">
        <f t="shared" si="1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INDEX(products!$A$1:$G$49,MATCH($D619,products!$A$1:$A$49,0),MATCH(orders!I$1,products!$A$1:$G$1,0))</f>
        <v>Lib</v>
      </c>
      <c r="J619" t="str">
        <f>INDEX(products!$A$1:$G$49,MATCH($D619,products!$A$1:$A$49,0),MATCH(orders!J$1,products!$A$1:$G$1,0))</f>
        <v>M</v>
      </c>
      <c r="K619" s="4">
        <f>INDEX(products!$A$1:$G$49,MATCH($D619,products!$A$1:$A$49,0),MATCH(orders!K$1,products!$A$1:$G$1,0))</f>
        <v>2.5</v>
      </c>
      <c r="L619" s="5">
        <f>INDEX(products!$A$1:$G$49,MATCH($D619,products!$A$1:$A$49,0),MATCH(orders!L$1,products!$A$1:$G$1,0))</f>
        <v>33.464999999999996</v>
      </c>
      <c r="M619" s="5">
        <f t="shared" si="18"/>
        <v>33.464999999999996</v>
      </c>
      <c r="N619" t="str">
        <f>IF(I619="Rob","Robusta",IF(I619="Exc","Excelsa",IF(I619="Ara","Arabica",IF(I619="Lib","Liberica",""))))</f>
        <v>Liberica</v>
      </c>
      <c r="O619" t="str">
        <f t="shared" si="1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INDEX(products!$A$1:$G$49,MATCH($D620,products!$A$1:$A$49,0),MATCH(orders!I$1,products!$A$1:$G$1,0))</f>
        <v>Exc</v>
      </c>
      <c r="J620" t="str">
        <f>INDEX(products!$A$1:$G$49,MATCH($D620,products!$A$1:$A$49,0),MATCH(orders!J$1,products!$A$1:$G$1,0))</f>
        <v>D</v>
      </c>
      <c r="K620" s="4">
        <f>INDEX(products!$A$1:$G$49,MATCH($D620,products!$A$1:$A$49,0),MATCH(orders!K$1,products!$A$1:$G$1,0))</f>
        <v>1</v>
      </c>
      <c r="L620" s="5">
        <f>INDEX(products!$A$1:$G$49,MATCH($D620,products!$A$1:$A$49,0),MATCH(orders!L$1,products!$A$1:$G$1,0))</f>
        <v>12.15</v>
      </c>
      <c r="M620" s="5">
        <f t="shared" si="18"/>
        <v>72.900000000000006</v>
      </c>
      <c r="N620" t="str">
        <f>IF(I620="Rob","Robusta",IF(I620="Exc","Excelsa",IF(I620="Ara","Arabica",IF(I620="Lib","Liberica",""))))</f>
        <v>Excelsa</v>
      </c>
      <c r="O620" t="str">
        <f t="shared" si="1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INDEX(products!$A$1:$G$49,MATCH($D621,products!$A$1:$A$49,0),MATCH(orders!I$1,products!$A$1:$G$1,0))</f>
        <v>Lib</v>
      </c>
      <c r="J621" t="str">
        <f>INDEX(products!$A$1:$G$49,MATCH($D621,products!$A$1:$A$49,0),MATCH(orders!J$1,products!$A$1:$G$1,0))</f>
        <v>D</v>
      </c>
      <c r="K621" s="4">
        <f>INDEX(products!$A$1:$G$49,MATCH($D621,products!$A$1:$A$49,0),MATCH(orders!K$1,products!$A$1:$G$1,0))</f>
        <v>0.5</v>
      </c>
      <c r="L621" s="5">
        <f>INDEX(products!$A$1:$G$49,MATCH($D621,products!$A$1:$A$49,0),MATCH(orders!L$1,products!$A$1:$G$1,0))</f>
        <v>7.77</v>
      </c>
      <c r="M621" s="5">
        <f t="shared" si="18"/>
        <v>15.54</v>
      </c>
      <c r="N621" t="str">
        <f>IF(I621="Rob","Robusta",IF(I621="Exc","Excelsa",IF(I621="Ara","Arabica",IF(I621="Lib","Liberica",""))))</f>
        <v>Liberica</v>
      </c>
      <c r="O621" t="str">
        <f t="shared" si="1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INDEX(products!$A$1:$G$49,MATCH($D622,products!$A$1:$A$49,0),MATCH(orders!I$1,products!$A$1:$G$1,0))</f>
        <v>Ara</v>
      </c>
      <c r="J622" t="str">
        <f>INDEX(products!$A$1:$G$49,MATCH($D622,products!$A$1:$A$49,0),MATCH(orders!J$1,products!$A$1:$G$1,0))</f>
        <v>M</v>
      </c>
      <c r="K622" s="4">
        <f>INDEX(products!$A$1:$G$49,MATCH($D622,products!$A$1:$A$49,0),MATCH(orders!K$1,products!$A$1:$G$1,0))</f>
        <v>0.2</v>
      </c>
      <c r="L622" s="5">
        <f>INDEX(products!$A$1:$G$49,MATCH($D622,products!$A$1:$A$49,0),MATCH(orders!L$1,products!$A$1:$G$1,0))</f>
        <v>3.375</v>
      </c>
      <c r="M622" s="5">
        <f t="shared" si="18"/>
        <v>20.25</v>
      </c>
      <c r="N622" t="str">
        <f>IF(I622="Rob","Robusta",IF(I622="Exc","Excelsa",IF(I622="Ara","Arabica",IF(I622="Lib","Liberica",""))))</f>
        <v>Arabica</v>
      </c>
      <c r="O622" t="str">
        <f t="shared" si="1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INDEX(products!$A$1:$G$49,MATCH($D623,products!$A$1:$A$49,0),MATCH(orders!I$1,products!$A$1:$G$1,0))</f>
        <v>Ara</v>
      </c>
      <c r="J623" t="str">
        <f>INDEX(products!$A$1:$G$49,MATCH($D623,products!$A$1:$A$49,0),MATCH(orders!J$1,products!$A$1:$G$1,0))</f>
        <v>L</v>
      </c>
      <c r="K623" s="4">
        <f>INDEX(products!$A$1:$G$49,MATCH($D623,products!$A$1:$A$49,0),MATCH(orders!K$1,products!$A$1:$G$1,0))</f>
        <v>1</v>
      </c>
      <c r="L623" s="5">
        <f>INDEX(products!$A$1:$G$49,MATCH($D623,products!$A$1:$A$49,0),MATCH(orders!L$1,products!$A$1:$G$1,0))</f>
        <v>12.95</v>
      </c>
      <c r="M623" s="5">
        <f t="shared" si="18"/>
        <v>77.699999999999989</v>
      </c>
      <c r="N623" t="str">
        <f>IF(I623="Rob","Robusta",IF(I623="Exc","Excelsa",IF(I623="Ara","Arabica",IF(I623="Lib","Liberica",""))))</f>
        <v>Arabica</v>
      </c>
      <c r="O623" t="str">
        <f t="shared" si="1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INDEX(products!$A$1:$G$49,MATCH($D624,products!$A$1:$A$49,0),MATCH(orders!I$1,products!$A$1:$G$1,0))</f>
        <v>Lib</v>
      </c>
      <c r="J624" t="str">
        <f>INDEX(products!$A$1:$G$49,MATCH($D624,products!$A$1:$A$49,0),MATCH(orders!J$1,products!$A$1:$G$1,0))</f>
        <v>M</v>
      </c>
      <c r="K624" s="4">
        <f>INDEX(products!$A$1:$G$49,MATCH($D624,products!$A$1:$A$49,0),MATCH(orders!K$1,products!$A$1:$G$1,0))</f>
        <v>2.5</v>
      </c>
      <c r="L624" s="5">
        <f>INDEX(products!$A$1:$G$49,MATCH($D624,products!$A$1:$A$49,0),MATCH(orders!L$1,products!$A$1:$G$1,0))</f>
        <v>33.464999999999996</v>
      </c>
      <c r="M624" s="5">
        <f t="shared" si="18"/>
        <v>133.85999999999999</v>
      </c>
      <c r="N624" t="str">
        <f>IF(I624="Rob","Robusta",IF(I624="Exc","Excelsa",IF(I624="Ara","Arabica",IF(I624="Lib","Liberica",""))))</f>
        <v>Liberica</v>
      </c>
      <c r="O624" t="str">
        <f t="shared" si="1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INDEX(products!$A$1:$G$49,MATCH($D625,products!$A$1:$A$49,0),MATCH(orders!I$1,products!$A$1:$G$1,0))</f>
        <v>Exc</v>
      </c>
      <c r="J625" t="str">
        <f>INDEX(products!$A$1:$G$49,MATCH($D625,products!$A$1:$A$49,0),MATCH(orders!J$1,products!$A$1:$G$1,0))</f>
        <v>D</v>
      </c>
      <c r="K625" s="4">
        <f>INDEX(products!$A$1:$G$49,MATCH($D625,products!$A$1:$A$49,0),MATCH(orders!K$1,products!$A$1:$G$1,0))</f>
        <v>1</v>
      </c>
      <c r="L625" s="5">
        <f>INDEX(products!$A$1:$G$49,MATCH($D625,products!$A$1:$A$49,0),MATCH(orders!L$1,products!$A$1:$G$1,0))</f>
        <v>12.15</v>
      </c>
      <c r="M625" s="5">
        <f t="shared" si="18"/>
        <v>12.15</v>
      </c>
      <c r="N625" t="str">
        <f>IF(I625="Rob","Robusta",IF(I625="Exc","Excelsa",IF(I625="Ara","Arabica",IF(I625="Lib","Liberica",""))))</f>
        <v>Excelsa</v>
      </c>
      <c r="O625" t="str">
        <f t="shared" si="1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INDEX(products!$A$1:$G$49,MATCH($D626,products!$A$1:$A$49,0),MATCH(orders!I$1,products!$A$1:$G$1,0))</f>
        <v>Exc</v>
      </c>
      <c r="J626" t="str">
        <f>INDEX(products!$A$1:$G$49,MATCH($D626,products!$A$1:$A$49,0),MATCH(orders!J$1,products!$A$1:$G$1,0))</f>
        <v>M</v>
      </c>
      <c r="K626" s="4">
        <f>INDEX(products!$A$1:$G$49,MATCH($D626,products!$A$1:$A$49,0),MATCH(orders!K$1,products!$A$1:$G$1,0))</f>
        <v>2.5</v>
      </c>
      <c r="L626" s="5">
        <f>INDEX(products!$A$1:$G$49,MATCH($D626,products!$A$1:$A$49,0),MATCH(orders!L$1,products!$A$1:$G$1,0))</f>
        <v>31.624999999999996</v>
      </c>
      <c r="M626" s="5">
        <f t="shared" si="18"/>
        <v>63.249999999999993</v>
      </c>
      <c r="N626" t="str">
        <f>IF(I626="Rob","Robusta",IF(I626="Exc","Excelsa",IF(I626="Ara","Arabica",IF(I626="Lib","Liberica",""))))</f>
        <v>Excelsa</v>
      </c>
      <c r="O626" t="str">
        <f t="shared" si="1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INDEX(products!$A$1:$G$49,MATCH($D627,products!$A$1:$A$49,0),MATCH(orders!I$1,products!$A$1:$G$1,0))</f>
        <v>Rob</v>
      </c>
      <c r="J627" t="str">
        <f>INDEX(products!$A$1:$G$49,MATCH($D627,products!$A$1:$A$49,0),MATCH(orders!J$1,products!$A$1:$G$1,0))</f>
        <v>L</v>
      </c>
      <c r="K627" s="4">
        <f>INDEX(products!$A$1:$G$49,MATCH($D627,products!$A$1:$A$49,0),MATCH(orders!K$1,products!$A$1:$G$1,0))</f>
        <v>0.5</v>
      </c>
      <c r="L627" s="5">
        <f>INDEX(products!$A$1:$G$49,MATCH($D627,products!$A$1:$A$49,0),MATCH(orders!L$1,products!$A$1:$G$1,0))</f>
        <v>7.169999999999999</v>
      </c>
      <c r="M627" s="5">
        <f t="shared" si="18"/>
        <v>35.849999999999994</v>
      </c>
      <c r="N627" t="str">
        <f>IF(I627="Rob","Robusta",IF(I627="Exc","Excelsa",IF(I627="Ara","Arabica",IF(I627="Lib","Liberica",""))))</f>
        <v>Robusta</v>
      </c>
      <c r="O627" t="str">
        <f t="shared" si="1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INDEX(products!$A$1:$G$49,MATCH($D628,products!$A$1:$A$49,0),MATCH(orders!I$1,products!$A$1:$G$1,0))</f>
        <v>Ara</v>
      </c>
      <c r="J628" t="str">
        <f>INDEX(products!$A$1:$G$49,MATCH($D628,products!$A$1:$A$49,0),MATCH(orders!J$1,products!$A$1:$G$1,0))</f>
        <v>M</v>
      </c>
      <c r="K628" s="4">
        <f>INDEX(products!$A$1:$G$49,MATCH($D628,products!$A$1:$A$49,0),MATCH(orders!K$1,products!$A$1:$G$1,0))</f>
        <v>2.5</v>
      </c>
      <c r="L628" s="5">
        <f>INDEX(products!$A$1:$G$49,MATCH($D628,products!$A$1:$A$49,0),MATCH(orders!L$1,products!$A$1:$G$1,0))</f>
        <v>25.874999999999996</v>
      </c>
      <c r="M628" s="5">
        <f t="shared" si="18"/>
        <v>77.624999999999986</v>
      </c>
      <c r="N628" t="str">
        <f>IF(I628="Rob","Robusta",IF(I628="Exc","Excelsa",IF(I628="Ara","Arabica",IF(I628="Lib","Liberica",""))))</f>
        <v>Arabica</v>
      </c>
      <c r="O628" t="str">
        <f t="shared" si="1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INDEX(products!$A$1:$G$49,MATCH($D629,products!$A$1:$A$49,0),MATCH(orders!I$1,products!$A$1:$G$1,0))</f>
        <v>Exc</v>
      </c>
      <c r="J629" t="str">
        <f>INDEX(products!$A$1:$G$49,MATCH($D629,products!$A$1:$A$49,0),MATCH(orders!J$1,products!$A$1:$G$1,0))</f>
        <v>M</v>
      </c>
      <c r="K629" s="4">
        <f>INDEX(products!$A$1:$G$49,MATCH($D629,products!$A$1:$A$49,0),MATCH(orders!K$1,products!$A$1:$G$1,0))</f>
        <v>2.5</v>
      </c>
      <c r="L629" s="5">
        <f>INDEX(products!$A$1:$G$49,MATCH($D629,products!$A$1:$A$49,0),MATCH(orders!L$1,products!$A$1:$G$1,0))</f>
        <v>31.624999999999996</v>
      </c>
      <c r="M629" s="5">
        <f t="shared" si="18"/>
        <v>63.249999999999993</v>
      </c>
      <c r="N629" t="str">
        <f>IF(I629="Rob","Robusta",IF(I629="Exc","Excelsa",IF(I629="Ara","Arabica",IF(I629="Lib","Liberica",""))))</f>
        <v>Excelsa</v>
      </c>
      <c r="O629" t="str">
        <f t="shared" si="1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INDEX(products!$A$1:$G$49,MATCH($D630,products!$A$1:$A$49,0),MATCH(orders!I$1,products!$A$1:$G$1,0))</f>
        <v>Exc</v>
      </c>
      <c r="J630" t="str">
        <f>INDEX(products!$A$1:$G$49,MATCH($D630,products!$A$1:$A$49,0),MATCH(orders!J$1,products!$A$1:$G$1,0))</f>
        <v>L</v>
      </c>
      <c r="K630" s="4">
        <f>INDEX(products!$A$1:$G$49,MATCH($D630,products!$A$1:$A$49,0),MATCH(orders!K$1,products!$A$1:$G$1,0))</f>
        <v>0.2</v>
      </c>
      <c r="L630" s="5">
        <f>INDEX(products!$A$1:$G$49,MATCH($D630,products!$A$1:$A$49,0),MATCH(orders!L$1,products!$A$1:$G$1,0))</f>
        <v>4.4550000000000001</v>
      </c>
      <c r="M630" s="5">
        <f t="shared" si="18"/>
        <v>26.73</v>
      </c>
      <c r="N630" t="str">
        <f>IF(I630="Rob","Robusta",IF(I630="Exc","Excelsa",IF(I630="Ara","Arabica",IF(I630="Lib","Liberica",""))))</f>
        <v>Excelsa</v>
      </c>
      <c r="O630" t="str">
        <f t="shared" si="1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INDEX(products!$A$1:$G$49,MATCH($D631,products!$A$1:$A$49,0),MATCH(orders!I$1,products!$A$1:$G$1,0))</f>
        <v>Lib</v>
      </c>
      <c r="J631" t="str">
        <f>INDEX(products!$A$1:$G$49,MATCH($D631,products!$A$1:$A$49,0),MATCH(orders!J$1,products!$A$1:$G$1,0))</f>
        <v>D</v>
      </c>
      <c r="K631" s="4">
        <f>INDEX(products!$A$1:$G$49,MATCH($D631,products!$A$1:$A$49,0),MATCH(orders!K$1,products!$A$1:$G$1,0))</f>
        <v>0.5</v>
      </c>
      <c r="L631" s="5">
        <f>INDEX(products!$A$1:$G$49,MATCH($D631,products!$A$1:$A$49,0),MATCH(orders!L$1,products!$A$1:$G$1,0))</f>
        <v>7.77</v>
      </c>
      <c r="M631" s="5">
        <f t="shared" si="18"/>
        <v>31.08</v>
      </c>
      <c r="N631" t="str">
        <f>IF(I631="Rob","Robusta",IF(I631="Exc","Excelsa",IF(I631="Ara","Arabica",IF(I631="Lib","Liberica",""))))</f>
        <v>Liberica</v>
      </c>
      <c r="O631" t="str">
        <f t="shared" si="1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INDEX(products!$A$1:$G$49,MATCH($D632,products!$A$1:$A$49,0),MATCH(orders!I$1,products!$A$1:$G$1,0))</f>
        <v>Ara</v>
      </c>
      <c r="J632" t="str">
        <f>INDEX(products!$A$1:$G$49,MATCH($D632,products!$A$1:$A$49,0),MATCH(orders!J$1,products!$A$1:$G$1,0))</f>
        <v>D</v>
      </c>
      <c r="K632" s="4">
        <f>INDEX(products!$A$1:$G$49,MATCH($D632,products!$A$1:$A$49,0),MATCH(orders!K$1,products!$A$1:$G$1,0))</f>
        <v>0.2</v>
      </c>
      <c r="L632" s="5">
        <f>INDEX(products!$A$1:$G$49,MATCH($D632,products!$A$1:$A$49,0),MATCH(orders!L$1,products!$A$1:$G$1,0))</f>
        <v>2.9849999999999999</v>
      </c>
      <c r="M632" s="5">
        <f t="shared" si="18"/>
        <v>2.9849999999999999</v>
      </c>
      <c r="N632" t="str">
        <f>IF(I632="Rob","Robusta",IF(I632="Exc","Excelsa",IF(I632="Ara","Arabica",IF(I632="Lib","Liberica",""))))</f>
        <v>Arabica</v>
      </c>
      <c r="O632" t="str">
        <f t="shared" si="1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INDEX(products!$A$1:$G$49,MATCH($D633,products!$A$1:$A$49,0),MATCH(orders!I$1,products!$A$1:$G$1,0))</f>
        <v>Rob</v>
      </c>
      <c r="J633" t="str">
        <f>INDEX(products!$A$1:$G$49,MATCH($D633,products!$A$1:$A$49,0),MATCH(orders!J$1,products!$A$1:$G$1,0))</f>
        <v>D</v>
      </c>
      <c r="K633" s="4">
        <f>INDEX(products!$A$1:$G$49,MATCH($D633,products!$A$1:$A$49,0),MATCH(orders!K$1,products!$A$1:$G$1,0))</f>
        <v>2.5</v>
      </c>
      <c r="L633" s="5">
        <f>INDEX(products!$A$1:$G$49,MATCH($D633,products!$A$1:$A$49,0),MATCH(orders!L$1,products!$A$1:$G$1,0))</f>
        <v>20.584999999999997</v>
      </c>
      <c r="M633" s="5">
        <f t="shared" si="18"/>
        <v>102.92499999999998</v>
      </c>
      <c r="N633" t="str">
        <f>IF(I633="Rob","Robusta",IF(I633="Exc","Excelsa",IF(I633="Ara","Arabica",IF(I633="Lib","Liberica",""))))</f>
        <v>Robusta</v>
      </c>
      <c r="O633" t="str">
        <f t="shared" si="1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INDEX(products!$A$1:$G$49,MATCH($D634,products!$A$1:$A$49,0),MATCH(orders!I$1,products!$A$1:$G$1,0))</f>
        <v>Exc</v>
      </c>
      <c r="J634" t="str">
        <f>INDEX(products!$A$1:$G$49,MATCH($D634,products!$A$1:$A$49,0),MATCH(orders!J$1,products!$A$1:$G$1,0))</f>
        <v>L</v>
      </c>
      <c r="K634" s="4">
        <f>INDEX(products!$A$1:$G$49,MATCH($D634,products!$A$1:$A$49,0),MATCH(orders!K$1,products!$A$1:$G$1,0))</f>
        <v>0.5</v>
      </c>
      <c r="L634" s="5">
        <f>INDEX(products!$A$1:$G$49,MATCH($D634,products!$A$1:$A$49,0),MATCH(orders!L$1,products!$A$1:$G$1,0))</f>
        <v>8.91</v>
      </c>
      <c r="M634" s="5">
        <f t="shared" si="18"/>
        <v>35.64</v>
      </c>
      <c r="N634" t="str">
        <f>IF(I634="Rob","Robusta",IF(I634="Exc","Excelsa",IF(I634="Ara","Arabica",IF(I634="Lib","Liberica",""))))</f>
        <v>Excelsa</v>
      </c>
      <c r="O634" t="str">
        <f t="shared" si="1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INDEX(products!$A$1:$G$49,MATCH($D635,products!$A$1:$A$49,0),MATCH(orders!I$1,products!$A$1:$G$1,0))</f>
        <v>Rob</v>
      </c>
      <c r="J635" t="str">
        <f>INDEX(products!$A$1:$G$49,MATCH($D635,products!$A$1:$A$49,0),MATCH(orders!J$1,products!$A$1:$G$1,0))</f>
        <v>L</v>
      </c>
      <c r="K635" s="4">
        <f>INDEX(products!$A$1:$G$49,MATCH($D635,products!$A$1:$A$49,0),MATCH(orders!K$1,products!$A$1:$G$1,0))</f>
        <v>1</v>
      </c>
      <c r="L635" s="5">
        <f>INDEX(products!$A$1:$G$49,MATCH($D635,products!$A$1:$A$49,0),MATCH(orders!L$1,products!$A$1:$G$1,0))</f>
        <v>11.95</v>
      </c>
      <c r="M635" s="5">
        <f t="shared" si="18"/>
        <v>47.8</v>
      </c>
      <c r="N635" t="str">
        <f>IF(I635="Rob","Robusta",IF(I635="Exc","Excelsa",IF(I635="Ara","Arabica",IF(I635="Lib","Liberica",""))))</f>
        <v>Robusta</v>
      </c>
      <c r="O635" t="str">
        <f t="shared" si="1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INDEX(products!$A$1:$G$49,MATCH($D636,products!$A$1:$A$49,0),MATCH(orders!I$1,products!$A$1:$G$1,0))</f>
        <v>Lib</v>
      </c>
      <c r="J636" t="str">
        <f>INDEX(products!$A$1:$G$49,MATCH($D636,products!$A$1:$A$49,0),MATCH(orders!J$1,products!$A$1:$G$1,0))</f>
        <v>M</v>
      </c>
      <c r="K636" s="4">
        <f>INDEX(products!$A$1:$G$49,MATCH($D636,products!$A$1:$A$49,0),MATCH(orders!K$1,products!$A$1:$G$1,0))</f>
        <v>1</v>
      </c>
      <c r="L636" s="5">
        <f>INDEX(products!$A$1:$G$49,MATCH($D636,products!$A$1:$A$49,0),MATCH(orders!L$1,products!$A$1:$G$1,0))</f>
        <v>14.55</v>
      </c>
      <c r="M636" s="5">
        <f t="shared" si="18"/>
        <v>43.650000000000006</v>
      </c>
      <c r="N636" t="str">
        <f>IF(I636="Rob","Robusta",IF(I636="Exc","Excelsa",IF(I636="Ara","Arabica",IF(I636="Lib","Liberica",""))))</f>
        <v>Liberica</v>
      </c>
      <c r="O636" t="str">
        <f t="shared" si="1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INDEX(products!$A$1:$G$49,MATCH($D637,products!$A$1:$A$49,0),MATCH(orders!I$1,products!$A$1:$G$1,0))</f>
        <v>Exc</v>
      </c>
      <c r="J637" t="str">
        <f>INDEX(products!$A$1:$G$49,MATCH($D637,products!$A$1:$A$49,0),MATCH(orders!J$1,products!$A$1:$G$1,0))</f>
        <v>L</v>
      </c>
      <c r="K637" s="4">
        <f>INDEX(products!$A$1:$G$49,MATCH($D637,products!$A$1:$A$49,0),MATCH(orders!K$1,products!$A$1:$G$1,0))</f>
        <v>0.5</v>
      </c>
      <c r="L637" s="5">
        <f>INDEX(products!$A$1:$G$49,MATCH($D637,products!$A$1:$A$49,0),MATCH(orders!L$1,products!$A$1:$G$1,0))</f>
        <v>8.91</v>
      </c>
      <c r="M637" s="5">
        <f t="shared" si="18"/>
        <v>35.64</v>
      </c>
      <c r="N637" t="str">
        <f>IF(I637="Rob","Robusta",IF(I637="Exc","Excelsa",IF(I637="Ara","Arabica",IF(I637="Lib","Liberica",""))))</f>
        <v>Excelsa</v>
      </c>
      <c r="O637" t="str">
        <f t="shared" si="1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INDEX(products!$A$1:$G$49,MATCH($D638,products!$A$1:$A$49,0),MATCH(orders!I$1,products!$A$1:$G$1,0))</f>
        <v>Lib</v>
      </c>
      <c r="J638" t="str">
        <f>INDEX(products!$A$1:$G$49,MATCH($D638,products!$A$1:$A$49,0),MATCH(orders!J$1,products!$A$1:$G$1,0))</f>
        <v>L</v>
      </c>
      <c r="K638" s="4">
        <f>INDEX(products!$A$1:$G$49,MATCH($D638,products!$A$1:$A$49,0),MATCH(orders!K$1,products!$A$1:$G$1,0))</f>
        <v>1</v>
      </c>
      <c r="L638" s="5">
        <f>INDEX(products!$A$1:$G$49,MATCH($D638,products!$A$1:$A$49,0),MATCH(orders!L$1,products!$A$1:$G$1,0))</f>
        <v>15.85</v>
      </c>
      <c r="M638" s="5">
        <f t="shared" si="18"/>
        <v>95.1</v>
      </c>
      <c r="N638" t="str">
        <f>IF(I638="Rob","Robusta",IF(I638="Exc","Excelsa",IF(I638="Ara","Arabica",IF(I638="Lib","Liberica",""))))</f>
        <v>Liberica</v>
      </c>
      <c r="O638" t="str">
        <f t="shared" si="1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INDEX(products!$A$1:$G$49,MATCH($D639,products!$A$1:$A$49,0),MATCH(orders!I$1,products!$A$1:$G$1,0))</f>
        <v>Exc</v>
      </c>
      <c r="J639" t="str">
        <f>INDEX(products!$A$1:$G$49,MATCH($D639,products!$A$1:$A$49,0),MATCH(orders!J$1,products!$A$1:$G$1,0))</f>
        <v>M</v>
      </c>
      <c r="K639" s="4">
        <f>INDEX(products!$A$1:$G$49,MATCH($D639,products!$A$1:$A$49,0),MATCH(orders!K$1,products!$A$1:$G$1,0))</f>
        <v>2.5</v>
      </c>
      <c r="L639" s="5">
        <f>INDEX(products!$A$1:$G$49,MATCH($D639,products!$A$1:$A$49,0),MATCH(orders!L$1,products!$A$1:$G$1,0))</f>
        <v>31.624999999999996</v>
      </c>
      <c r="M639" s="5">
        <f t="shared" si="18"/>
        <v>31.624999999999996</v>
      </c>
      <c r="N639" t="str">
        <f>IF(I639="Rob","Robusta",IF(I639="Exc","Excelsa",IF(I639="Ara","Arabica",IF(I639="Lib","Liberica",""))))</f>
        <v>Excelsa</v>
      </c>
      <c r="O639" t="str">
        <f t="shared" si="1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INDEX(products!$A$1:$G$49,MATCH($D640,products!$A$1:$A$49,0),MATCH(orders!I$1,products!$A$1:$G$1,0))</f>
        <v>Ara</v>
      </c>
      <c r="J640" t="str">
        <f>INDEX(products!$A$1:$G$49,MATCH($D640,products!$A$1:$A$49,0),MATCH(orders!J$1,products!$A$1:$G$1,0))</f>
        <v>M</v>
      </c>
      <c r="K640" s="4">
        <f>INDEX(products!$A$1:$G$49,MATCH($D640,products!$A$1:$A$49,0),MATCH(orders!K$1,products!$A$1:$G$1,0))</f>
        <v>2.5</v>
      </c>
      <c r="L640" s="5">
        <f>INDEX(products!$A$1:$G$49,MATCH($D640,products!$A$1:$A$49,0),MATCH(orders!L$1,products!$A$1:$G$1,0))</f>
        <v>25.874999999999996</v>
      </c>
      <c r="M640" s="5">
        <f t="shared" si="18"/>
        <v>77.624999999999986</v>
      </c>
      <c r="N640" t="str">
        <f>IF(I640="Rob","Robusta",IF(I640="Exc","Excelsa",IF(I640="Ara","Arabica",IF(I640="Lib","Liberica",""))))</f>
        <v>Arabica</v>
      </c>
      <c r="O640" t="str">
        <f t="shared" si="1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INDEX(products!$A$1:$G$49,MATCH($D641,products!$A$1:$A$49,0),MATCH(orders!I$1,products!$A$1:$G$1,0))</f>
        <v>Lib</v>
      </c>
      <c r="J641" t="str">
        <f>INDEX(products!$A$1:$G$49,MATCH($D641,products!$A$1:$A$49,0),MATCH(orders!J$1,products!$A$1:$G$1,0))</f>
        <v>D</v>
      </c>
      <c r="K641" s="4">
        <f>INDEX(products!$A$1:$G$49,MATCH($D641,products!$A$1:$A$49,0),MATCH(orders!K$1,products!$A$1:$G$1,0))</f>
        <v>0.2</v>
      </c>
      <c r="L641" s="5">
        <f>INDEX(products!$A$1:$G$49,MATCH($D641,products!$A$1:$A$49,0),MATCH(orders!L$1,products!$A$1:$G$1,0))</f>
        <v>3.8849999999999998</v>
      </c>
      <c r="M641" s="5">
        <f t="shared" si="18"/>
        <v>3.8849999999999998</v>
      </c>
      <c r="N641" t="str">
        <f>IF(I641="Rob","Robusta",IF(I641="Exc","Excelsa",IF(I641="Ara","Arabica",IF(I641="Lib","Liberica",""))))</f>
        <v>Liberica</v>
      </c>
      <c r="O641" t="str">
        <f t="shared" si="1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INDEX(products!$A$1:$G$49,MATCH($D642,products!$A$1:$A$49,0),MATCH(orders!I$1,products!$A$1:$G$1,0))</f>
        <v>Rob</v>
      </c>
      <c r="J642" t="str">
        <f>INDEX(products!$A$1:$G$49,MATCH($D642,products!$A$1:$A$49,0),MATCH(orders!J$1,products!$A$1:$G$1,0))</f>
        <v>L</v>
      </c>
      <c r="K642" s="4">
        <f>INDEX(products!$A$1:$G$49,MATCH($D642,products!$A$1:$A$49,0),MATCH(orders!K$1,products!$A$1:$G$1,0))</f>
        <v>2.5</v>
      </c>
      <c r="L642" s="5">
        <f>INDEX(products!$A$1:$G$49,MATCH($D642,products!$A$1:$A$49,0),MATCH(orders!L$1,products!$A$1:$G$1,0))</f>
        <v>27.484999999999996</v>
      </c>
      <c r="M642" s="5">
        <f t="shared" si="18"/>
        <v>137.42499999999998</v>
      </c>
      <c r="N642" t="str">
        <f>IF(I642="Rob","Robusta",IF(I642="Exc","Excelsa",IF(I642="Ara","Arabica",IF(I642="Lib","Liberica",""))))</f>
        <v>Robusta</v>
      </c>
      <c r="O642" t="str">
        <f t="shared" si="1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INDEX(products!$A$1:$G$49,MATCH($D643,products!$A$1:$A$49,0),MATCH(orders!I$1,products!$A$1:$G$1,0))</f>
        <v>Rob</v>
      </c>
      <c r="J643" t="str">
        <f>INDEX(products!$A$1:$G$49,MATCH($D643,products!$A$1:$A$49,0),MATCH(orders!J$1,products!$A$1:$G$1,0))</f>
        <v>L</v>
      </c>
      <c r="K643" s="4">
        <f>INDEX(products!$A$1:$G$49,MATCH($D643,products!$A$1:$A$49,0),MATCH(orders!K$1,products!$A$1:$G$1,0))</f>
        <v>1</v>
      </c>
      <c r="L643" s="5">
        <f>INDEX(products!$A$1:$G$49,MATCH($D643,products!$A$1:$A$49,0),MATCH(orders!L$1,products!$A$1:$G$1,0))</f>
        <v>11.95</v>
      </c>
      <c r="M643" s="5">
        <f t="shared" ref="M643:M706" si="20">L643*E643</f>
        <v>35.849999999999994</v>
      </c>
      <c r="N643" t="str">
        <f>IF(I643="Rob","Robusta",IF(I643="Exc","Excelsa",IF(I643="Ara","Arabica",IF(I643="Lib","Liberica",""))))</f>
        <v>Robusta</v>
      </c>
      <c r="O643" t="str">
        <f t="shared" ref="O643:O706" si="21">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INDEX(products!$A$1:$G$49,MATCH($D644,products!$A$1:$A$49,0),MATCH(orders!I$1,products!$A$1:$G$1,0))</f>
        <v>Exc</v>
      </c>
      <c r="J644" t="str">
        <f>INDEX(products!$A$1:$G$49,MATCH($D644,products!$A$1:$A$49,0),MATCH(orders!J$1,products!$A$1:$G$1,0))</f>
        <v>M</v>
      </c>
      <c r="K644" s="4">
        <f>INDEX(products!$A$1:$G$49,MATCH($D644,products!$A$1:$A$49,0),MATCH(orders!K$1,products!$A$1:$G$1,0))</f>
        <v>0.2</v>
      </c>
      <c r="L644" s="5">
        <f>INDEX(products!$A$1:$G$49,MATCH($D644,products!$A$1:$A$49,0),MATCH(orders!L$1,products!$A$1:$G$1,0))</f>
        <v>4.125</v>
      </c>
      <c r="M644" s="5">
        <f t="shared" si="20"/>
        <v>8.25</v>
      </c>
      <c r="N644" t="str">
        <f>IF(I644="Rob","Robusta",IF(I644="Exc","Excelsa",IF(I644="Ara","Arabica",IF(I644="Lib","Liberica",""))))</f>
        <v>Excelsa</v>
      </c>
      <c r="O644" t="str">
        <f t="shared" si="21"/>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INDEX(products!$A$1:$G$49,MATCH($D645,products!$A$1:$A$49,0),MATCH(orders!I$1,products!$A$1:$G$1,0))</f>
        <v>Exc</v>
      </c>
      <c r="J645" t="str">
        <f>INDEX(products!$A$1:$G$49,MATCH($D645,products!$A$1:$A$49,0),MATCH(orders!J$1,products!$A$1:$G$1,0))</f>
        <v>L</v>
      </c>
      <c r="K645" s="4">
        <f>INDEX(products!$A$1:$G$49,MATCH($D645,products!$A$1:$A$49,0),MATCH(orders!K$1,products!$A$1:$G$1,0))</f>
        <v>2.5</v>
      </c>
      <c r="L645" s="5">
        <f>INDEX(products!$A$1:$G$49,MATCH($D645,products!$A$1:$A$49,0),MATCH(orders!L$1,products!$A$1:$G$1,0))</f>
        <v>34.154999999999994</v>
      </c>
      <c r="M645" s="5">
        <f t="shared" si="20"/>
        <v>102.46499999999997</v>
      </c>
      <c r="N645" t="str">
        <f>IF(I645="Rob","Robusta",IF(I645="Exc","Excelsa",IF(I645="Ara","Arabica",IF(I645="Lib","Liberica",""))))</f>
        <v>Excelsa</v>
      </c>
      <c r="O645" t="str">
        <f t="shared" si="21"/>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INDEX(products!$A$1:$G$49,MATCH($D646,products!$A$1:$A$49,0),MATCH(orders!I$1,products!$A$1:$G$1,0))</f>
        <v>Rob</v>
      </c>
      <c r="J646" t="str">
        <f>INDEX(products!$A$1:$G$49,MATCH($D646,products!$A$1:$A$49,0),MATCH(orders!J$1,products!$A$1:$G$1,0))</f>
        <v>D</v>
      </c>
      <c r="K646" s="4">
        <f>INDEX(products!$A$1:$G$49,MATCH($D646,products!$A$1:$A$49,0),MATCH(orders!K$1,products!$A$1:$G$1,0))</f>
        <v>2.5</v>
      </c>
      <c r="L646" s="5">
        <f>INDEX(products!$A$1:$G$49,MATCH($D646,products!$A$1:$A$49,0),MATCH(orders!L$1,products!$A$1:$G$1,0))</f>
        <v>20.584999999999997</v>
      </c>
      <c r="M646" s="5">
        <f t="shared" si="20"/>
        <v>41.169999999999995</v>
      </c>
      <c r="N646" t="str">
        <f>IF(I646="Rob","Robusta",IF(I646="Exc","Excelsa",IF(I646="Ara","Arabica",IF(I646="Lib","Liberica",""))))</f>
        <v>Robusta</v>
      </c>
      <c r="O646" t="str">
        <f t="shared" si="21"/>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INDEX(products!$A$1:$G$49,MATCH($D647,products!$A$1:$A$49,0),MATCH(orders!I$1,products!$A$1:$G$1,0))</f>
        <v>Ara</v>
      </c>
      <c r="J647" t="str">
        <f>INDEX(products!$A$1:$G$49,MATCH($D647,products!$A$1:$A$49,0),MATCH(orders!J$1,products!$A$1:$G$1,0))</f>
        <v>D</v>
      </c>
      <c r="K647" s="4">
        <f>INDEX(products!$A$1:$G$49,MATCH($D647,products!$A$1:$A$49,0),MATCH(orders!K$1,products!$A$1:$G$1,0))</f>
        <v>2.5</v>
      </c>
      <c r="L647" s="5">
        <f>INDEX(products!$A$1:$G$49,MATCH($D647,products!$A$1:$A$49,0),MATCH(orders!L$1,products!$A$1:$G$1,0))</f>
        <v>22.884999999999998</v>
      </c>
      <c r="M647" s="5">
        <f t="shared" si="20"/>
        <v>68.655000000000001</v>
      </c>
      <c r="N647" t="str">
        <f>IF(I647="Rob","Robusta",IF(I647="Exc","Excelsa",IF(I647="Ara","Arabica",IF(I647="Lib","Liberica",""))))</f>
        <v>Arabica</v>
      </c>
      <c r="O647" t="str">
        <f t="shared" si="21"/>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INDEX(products!$A$1:$G$49,MATCH($D648,products!$A$1:$A$49,0),MATCH(orders!I$1,products!$A$1:$G$1,0))</f>
        <v>Ara</v>
      </c>
      <c r="J648" t="str">
        <f>INDEX(products!$A$1:$G$49,MATCH($D648,products!$A$1:$A$49,0),MATCH(orders!J$1,products!$A$1:$G$1,0))</f>
        <v>D</v>
      </c>
      <c r="K648" s="4">
        <f>INDEX(products!$A$1:$G$49,MATCH($D648,products!$A$1:$A$49,0),MATCH(orders!K$1,products!$A$1:$G$1,0))</f>
        <v>1</v>
      </c>
      <c r="L648" s="5">
        <f>INDEX(products!$A$1:$G$49,MATCH($D648,products!$A$1:$A$49,0),MATCH(orders!L$1,products!$A$1:$G$1,0))</f>
        <v>9.9499999999999993</v>
      </c>
      <c r="M648" s="5">
        <f t="shared" si="20"/>
        <v>9.9499999999999993</v>
      </c>
      <c r="N648" t="str">
        <f>IF(I648="Rob","Robusta",IF(I648="Exc","Excelsa",IF(I648="Ara","Arabica",IF(I648="Lib","Liberica",""))))</f>
        <v>Arabica</v>
      </c>
      <c r="O648" t="str">
        <f t="shared" si="21"/>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INDEX(products!$A$1:$G$49,MATCH($D649,products!$A$1:$A$49,0),MATCH(orders!I$1,products!$A$1:$G$1,0))</f>
        <v>Lib</v>
      </c>
      <c r="J649" t="str">
        <f>INDEX(products!$A$1:$G$49,MATCH($D649,products!$A$1:$A$49,0),MATCH(orders!J$1,products!$A$1:$G$1,0))</f>
        <v>L</v>
      </c>
      <c r="K649" s="4">
        <f>INDEX(products!$A$1:$G$49,MATCH($D649,products!$A$1:$A$49,0),MATCH(orders!K$1,products!$A$1:$G$1,0))</f>
        <v>0.5</v>
      </c>
      <c r="L649" s="5">
        <f>INDEX(products!$A$1:$G$49,MATCH($D649,products!$A$1:$A$49,0),MATCH(orders!L$1,products!$A$1:$G$1,0))</f>
        <v>9.51</v>
      </c>
      <c r="M649" s="5">
        <f t="shared" si="20"/>
        <v>28.53</v>
      </c>
      <c r="N649" t="str">
        <f>IF(I649="Rob","Robusta",IF(I649="Exc","Excelsa",IF(I649="Ara","Arabica",IF(I649="Lib","Liberica",""))))</f>
        <v>Liberica</v>
      </c>
      <c r="O649" t="str">
        <f t="shared" si="21"/>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INDEX(products!$A$1:$G$49,MATCH($D650,products!$A$1:$A$49,0),MATCH(orders!I$1,products!$A$1:$G$1,0))</f>
        <v>Rob</v>
      </c>
      <c r="J650" t="str">
        <f>INDEX(products!$A$1:$G$49,MATCH($D650,products!$A$1:$A$49,0),MATCH(orders!J$1,products!$A$1:$G$1,0))</f>
        <v>D</v>
      </c>
      <c r="K650" s="4">
        <f>INDEX(products!$A$1:$G$49,MATCH($D650,products!$A$1:$A$49,0),MATCH(orders!K$1,products!$A$1:$G$1,0))</f>
        <v>0.2</v>
      </c>
      <c r="L650" s="5">
        <f>INDEX(products!$A$1:$G$49,MATCH($D650,products!$A$1:$A$49,0),MATCH(orders!L$1,products!$A$1:$G$1,0))</f>
        <v>2.6849999999999996</v>
      </c>
      <c r="M650" s="5">
        <f t="shared" si="20"/>
        <v>16.11</v>
      </c>
      <c r="N650" t="str">
        <f>IF(I650="Rob","Robusta",IF(I650="Exc","Excelsa",IF(I650="Ara","Arabica",IF(I650="Lib","Liberica",""))))</f>
        <v>Robusta</v>
      </c>
      <c r="O650" t="str">
        <f t="shared" si="21"/>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INDEX(products!$A$1:$G$49,MATCH($D651,products!$A$1:$A$49,0),MATCH(orders!I$1,products!$A$1:$G$1,0))</f>
        <v>Lib</v>
      </c>
      <c r="J651" t="str">
        <f>INDEX(products!$A$1:$G$49,MATCH($D651,products!$A$1:$A$49,0),MATCH(orders!J$1,products!$A$1:$G$1,0))</f>
        <v>L</v>
      </c>
      <c r="K651" s="4">
        <f>INDEX(products!$A$1:$G$49,MATCH($D651,products!$A$1:$A$49,0),MATCH(orders!K$1,products!$A$1:$G$1,0))</f>
        <v>1</v>
      </c>
      <c r="L651" s="5">
        <f>INDEX(products!$A$1:$G$49,MATCH($D651,products!$A$1:$A$49,0),MATCH(orders!L$1,products!$A$1:$G$1,0))</f>
        <v>15.85</v>
      </c>
      <c r="M651" s="5">
        <f t="shared" si="20"/>
        <v>95.1</v>
      </c>
      <c r="N651" t="str">
        <f>IF(I651="Rob","Robusta",IF(I651="Exc","Excelsa",IF(I651="Ara","Arabica",IF(I651="Lib","Liberica",""))))</f>
        <v>Liberica</v>
      </c>
      <c r="O651" t="str">
        <f t="shared" si="21"/>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INDEX(products!$A$1:$G$49,MATCH($D652,products!$A$1:$A$49,0),MATCH(orders!I$1,products!$A$1:$G$1,0))</f>
        <v>Rob</v>
      </c>
      <c r="J652" t="str">
        <f>INDEX(products!$A$1:$G$49,MATCH($D652,products!$A$1:$A$49,0),MATCH(orders!J$1,products!$A$1:$G$1,0))</f>
        <v>D</v>
      </c>
      <c r="K652" s="4">
        <f>INDEX(products!$A$1:$G$49,MATCH($D652,products!$A$1:$A$49,0),MATCH(orders!K$1,products!$A$1:$G$1,0))</f>
        <v>0.5</v>
      </c>
      <c r="L652" s="5">
        <f>INDEX(products!$A$1:$G$49,MATCH($D652,products!$A$1:$A$49,0),MATCH(orders!L$1,products!$A$1:$G$1,0))</f>
        <v>5.3699999999999992</v>
      </c>
      <c r="M652" s="5">
        <f t="shared" si="20"/>
        <v>5.3699999999999992</v>
      </c>
      <c r="N652" t="str">
        <f>IF(I652="Rob","Robusta",IF(I652="Exc","Excelsa",IF(I652="Ara","Arabica",IF(I652="Lib","Liberica",""))))</f>
        <v>Robusta</v>
      </c>
      <c r="O652" t="str">
        <f t="shared" si="21"/>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INDEX(products!$A$1:$G$49,MATCH($D653,products!$A$1:$A$49,0),MATCH(orders!I$1,products!$A$1:$G$1,0))</f>
        <v>Rob</v>
      </c>
      <c r="J653" t="str">
        <f>INDEX(products!$A$1:$G$49,MATCH($D653,products!$A$1:$A$49,0),MATCH(orders!J$1,products!$A$1:$G$1,0))</f>
        <v>L</v>
      </c>
      <c r="K653" s="4">
        <f>INDEX(products!$A$1:$G$49,MATCH($D653,products!$A$1:$A$49,0),MATCH(orders!K$1,products!$A$1:$G$1,0))</f>
        <v>1</v>
      </c>
      <c r="L653" s="5">
        <f>INDEX(products!$A$1:$G$49,MATCH($D653,products!$A$1:$A$49,0),MATCH(orders!L$1,products!$A$1:$G$1,0))</f>
        <v>11.95</v>
      </c>
      <c r="M653" s="5">
        <f t="shared" si="20"/>
        <v>47.8</v>
      </c>
      <c r="N653" t="str">
        <f>IF(I653="Rob","Robusta",IF(I653="Exc","Excelsa",IF(I653="Ara","Arabica",IF(I653="Lib","Liberica",""))))</f>
        <v>Robusta</v>
      </c>
      <c r="O653" t="str">
        <f t="shared" si="21"/>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INDEX(products!$A$1:$G$49,MATCH($D654,products!$A$1:$A$49,0),MATCH(orders!I$1,products!$A$1:$G$1,0))</f>
        <v>Lib</v>
      </c>
      <c r="J654" t="str">
        <f>INDEX(products!$A$1:$G$49,MATCH($D654,products!$A$1:$A$49,0),MATCH(orders!J$1,products!$A$1:$G$1,0))</f>
        <v>L</v>
      </c>
      <c r="K654" s="4">
        <f>INDEX(products!$A$1:$G$49,MATCH($D654,products!$A$1:$A$49,0),MATCH(orders!K$1,products!$A$1:$G$1,0))</f>
        <v>1</v>
      </c>
      <c r="L654" s="5">
        <f>INDEX(products!$A$1:$G$49,MATCH($D654,products!$A$1:$A$49,0),MATCH(orders!L$1,products!$A$1:$G$1,0))</f>
        <v>15.85</v>
      </c>
      <c r="M654" s="5">
        <f t="shared" si="20"/>
        <v>63.4</v>
      </c>
      <c r="N654" t="str">
        <f>IF(I654="Rob","Robusta",IF(I654="Exc","Excelsa",IF(I654="Ara","Arabica",IF(I654="Lib","Liberica",""))))</f>
        <v>Liberica</v>
      </c>
      <c r="O654" t="str">
        <f t="shared" si="21"/>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INDEX(products!$A$1:$G$49,MATCH($D655,products!$A$1:$A$49,0),MATCH(orders!I$1,products!$A$1:$G$1,0))</f>
        <v>Ara</v>
      </c>
      <c r="J655" t="str">
        <f>INDEX(products!$A$1:$G$49,MATCH($D655,products!$A$1:$A$49,0),MATCH(orders!J$1,products!$A$1:$G$1,0))</f>
        <v>M</v>
      </c>
      <c r="K655" s="4">
        <f>INDEX(products!$A$1:$G$49,MATCH($D655,products!$A$1:$A$49,0),MATCH(orders!K$1,products!$A$1:$G$1,0))</f>
        <v>2.5</v>
      </c>
      <c r="L655" s="5">
        <f>INDEX(products!$A$1:$G$49,MATCH($D655,products!$A$1:$A$49,0),MATCH(orders!L$1,products!$A$1:$G$1,0))</f>
        <v>25.874999999999996</v>
      </c>
      <c r="M655" s="5">
        <f t="shared" si="20"/>
        <v>103.49999999999999</v>
      </c>
      <c r="N655" t="str">
        <f>IF(I655="Rob","Robusta",IF(I655="Exc","Excelsa",IF(I655="Ara","Arabica",IF(I655="Lib","Liberica",""))))</f>
        <v>Arabica</v>
      </c>
      <c r="O655" t="str">
        <f t="shared" si="21"/>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INDEX(products!$A$1:$G$49,MATCH($D656,products!$A$1:$A$49,0),MATCH(orders!I$1,products!$A$1:$G$1,0))</f>
        <v>Ara</v>
      </c>
      <c r="J656" t="str">
        <f>INDEX(products!$A$1:$G$49,MATCH($D656,products!$A$1:$A$49,0),MATCH(orders!J$1,products!$A$1:$G$1,0))</f>
        <v>D</v>
      </c>
      <c r="K656" s="4">
        <f>INDEX(products!$A$1:$G$49,MATCH($D656,products!$A$1:$A$49,0),MATCH(orders!K$1,products!$A$1:$G$1,0))</f>
        <v>2.5</v>
      </c>
      <c r="L656" s="5">
        <f>INDEX(products!$A$1:$G$49,MATCH($D656,products!$A$1:$A$49,0),MATCH(orders!L$1,products!$A$1:$G$1,0))</f>
        <v>22.884999999999998</v>
      </c>
      <c r="M656" s="5">
        <f t="shared" si="20"/>
        <v>68.655000000000001</v>
      </c>
      <c r="N656" t="str">
        <f>IF(I656="Rob","Robusta",IF(I656="Exc","Excelsa",IF(I656="Ara","Arabica",IF(I656="Lib","Liberica",""))))</f>
        <v>Arabica</v>
      </c>
      <c r="O656" t="str">
        <f t="shared" si="21"/>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INDEX(products!$A$1:$G$49,MATCH($D657,products!$A$1:$A$49,0),MATCH(orders!I$1,products!$A$1:$G$1,0))</f>
        <v>Rob</v>
      </c>
      <c r="J657" t="str">
        <f>INDEX(products!$A$1:$G$49,MATCH($D657,products!$A$1:$A$49,0),MATCH(orders!J$1,products!$A$1:$G$1,0))</f>
        <v>M</v>
      </c>
      <c r="K657" s="4">
        <f>INDEX(products!$A$1:$G$49,MATCH($D657,products!$A$1:$A$49,0),MATCH(orders!K$1,products!$A$1:$G$1,0))</f>
        <v>2.5</v>
      </c>
      <c r="L657" s="5">
        <f>INDEX(products!$A$1:$G$49,MATCH($D657,products!$A$1:$A$49,0),MATCH(orders!L$1,products!$A$1:$G$1,0))</f>
        <v>22.884999999999998</v>
      </c>
      <c r="M657" s="5">
        <f t="shared" si="20"/>
        <v>45.769999999999996</v>
      </c>
      <c r="N657" t="str">
        <f>IF(I657="Rob","Robusta",IF(I657="Exc","Excelsa",IF(I657="Ara","Arabica",IF(I657="Lib","Liberica",""))))</f>
        <v>Robusta</v>
      </c>
      <c r="O657" t="str">
        <f t="shared" si="21"/>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INDEX(products!$A$1:$G$49,MATCH($D658,products!$A$1:$A$49,0),MATCH(orders!I$1,products!$A$1:$G$1,0))</f>
        <v>Lib</v>
      </c>
      <c r="J658" t="str">
        <f>INDEX(products!$A$1:$G$49,MATCH($D658,products!$A$1:$A$49,0),MATCH(orders!J$1,products!$A$1:$G$1,0))</f>
        <v>D</v>
      </c>
      <c r="K658" s="4">
        <f>INDEX(products!$A$1:$G$49,MATCH($D658,products!$A$1:$A$49,0),MATCH(orders!K$1,products!$A$1:$G$1,0))</f>
        <v>1</v>
      </c>
      <c r="L658" s="5">
        <f>INDEX(products!$A$1:$G$49,MATCH($D658,products!$A$1:$A$49,0),MATCH(orders!L$1,products!$A$1:$G$1,0))</f>
        <v>12.95</v>
      </c>
      <c r="M658" s="5">
        <f t="shared" si="20"/>
        <v>51.8</v>
      </c>
      <c r="N658" t="str">
        <f>IF(I658="Rob","Robusta",IF(I658="Exc","Excelsa",IF(I658="Ara","Arabica",IF(I658="Lib","Liberica",""))))</f>
        <v>Liberica</v>
      </c>
      <c r="O658" t="str">
        <f t="shared" si="21"/>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INDEX(products!$A$1:$G$49,MATCH($D659,products!$A$1:$A$49,0),MATCH(orders!I$1,products!$A$1:$G$1,0))</f>
        <v>Ara</v>
      </c>
      <c r="J659" t="str">
        <f>INDEX(products!$A$1:$G$49,MATCH($D659,products!$A$1:$A$49,0),MATCH(orders!J$1,products!$A$1:$G$1,0))</f>
        <v>M</v>
      </c>
      <c r="K659" s="4">
        <f>INDEX(products!$A$1:$G$49,MATCH($D659,products!$A$1:$A$49,0),MATCH(orders!K$1,products!$A$1:$G$1,0))</f>
        <v>0.5</v>
      </c>
      <c r="L659" s="5">
        <f>INDEX(products!$A$1:$G$49,MATCH($D659,products!$A$1:$A$49,0),MATCH(orders!L$1,products!$A$1:$G$1,0))</f>
        <v>6.75</v>
      </c>
      <c r="M659" s="5">
        <f t="shared" si="20"/>
        <v>13.5</v>
      </c>
      <c r="N659" t="str">
        <f>IF(I659="Rob","Robusta",IF(I659="Exc","Excelsa",IF(I659="Ara","Arabica",IF(I659="Lib","Liberica",""))))</f>
        <v>Arabica</v>
      </c>
      <c r="O659" t="str">
        <f t="shared" si="21"/>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INDEX(products!$A$1:$G$49,MATCH($D660,products!$A$1:$A$49,0),MATCH(orders!I$1,products!$A$1:$G$1,0))</f>
        <v>Exc</v>
      </c>
      <c r="J660" t="str">
        <f>INDEX(products!$A$1:$G$49,MATCH($D660,products!$A$1:$A$49,0),MATCH(orders!J$1,products!$A$1:$G$1,0))</f>
        <v>M</v>
      </c>
      <c r="K660" s="4">
        <f>INDEX(products!$A$1:$G$49,MATCH($D660,products!$A$1:$A$49,0),MATCH(orders!K$1,products!$A$1:$G$1,0))</f>
        <v>0.5</v>
      </c>
      <c r="L660" s="5">
        <f>INDEX(products!$A$1:$G$49,MATCH($D660,products!$A$1:$A$49,0),MATCH(orders!L$1,products!$A$1:$G$1,0))</f>
        <v>8.25</v>
      </c>
      <c r="M660" s="5">
        <f t="shared" si="20"/>
        <v>24.75</v>
      </c>
      <c r="N660" t="str">
        <f>IF(I660="Rob","Robusta",IF(I660="Exc","Excelsa",IF(I660="Ara","Arabica",IF(I660="Lib","Liberica",""))))</f>
        <v>Excelsa</v>
      </c>
      <c r="O660" t="str">
        <f t="shared" si="21"/>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INDEX(products!$A$1:$G$49,MATCH($D661,products!$A$1:$A$49,0),MATCH(orders!I$1,products!$A$1:$G$1,0))</f>
        <v>Ara</v>
      </c>
      <c r="J661" t="str">
        <f>INDEX(products!$A$1:$G$49,MATCH($D661,products!$A$1:$A$49,0),MATCH(orders!J$1,products!$A$1:$G$1,0))</f>
        <v>D</v>
      </c>
      <c r="K661" s="4">
        <f>INDEX(products!$A$1:$G$49,MATCH($D661,products!$A$1:$A$49,0),MATCH(orders!K$1,products!$A$1:$G$1,0))</f>
        <v>2.5</v>
      </c>
      <c r="L661" s="5">
        <f>INDEX(products!$A$1:$G$49,MATCH($D661,products!$A$1:$A$49,0),MATCH(orders!L$1,products!$A$1:$G$1,0))</f>
        <v>22.884999999999998</v>
      </c>
      <c r="M661" s="5">
        <f t="shared" si="20"/>
        <v>45.769999999999996</v>
      </c>
      <c r="N661" t="str">
        <f>IF(I661="Rob","Robusta",IF(I661="Exc","Excelsa",IF(I661="Ara","Arabica",IF(I661="Lib","Liberica",""))))</f>
        <v>Arabica</v>
      </c>
      <c r="O661" t="str">
        <f t="shared" si="21"/>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INDEX(products!$A$1:$G$49,MATCH($D662,products!$A$1:$A$49,0),MATCH(orders!I$1,products!$A$1:$G$1,0))</f>
        <v>Exc</v>
      </c>
      <c r="J662" t="str">
        <f>INDEX(products!$A$1:$G$49,MATCH($D662,products!$A$1:$A$49,0),MATCH(orders!J$1,products!$A$1:$G$1,0))</f>
        <v>L</v>
      </c>
      <c r="K662" s="4">
        <f>INDEX(products!$A$1:$G$49,MATCH($D662,products!$A$1:$A$49,0),MATCH(orders!K$1,products!$A$1:$G$1,0))</f>
        <v>0.5</v>
      </c>
      <c r="L662" s="5">
        <f>INDEX(products!$A$1:$G$49,MATCH($D662,products!$A$1:$A$49,0),MATCH(orders!L$1,products!$A$1:$G$1,0))</f>
        <v>8.91</v>
      </c>
      <c r="M662" s="5">
        <f t="shared" si="20"/>
        <v>53.46</v>
      </c>
      <c r="N662" t="str">
        <f>IF(I662="Rob","Robusta",IF(I662="Exc","Excelsa",IF(I662="Ara","Arabica",IF(I662="Lib","Liberica",""))))</f>
        <v>Excelsa</v>
      </c>
      <c r="O662" t="str">
        <f t="shared" si="21"/>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INDEX(products!$A$1:$G$49,MATCH($D663,products!$A$1:$A$49,0),MATCH(orders!I$1,products!$A$1:$G$1,0))</f>
        <v>Ara</v>
      </c>
      <c r="J663" t="str">
        <f>INDEX(products!$A$1:$G$49,MATCH($D663,products!$A$1:$A$49,0),MATCH(orders!J$1,products!$A$1:$G$1,0))</f>
        <v>M</v>
      </c>
      <c r="K663" s="4">
        <f>INDEX(products!$A$1:$G$49,MATCH($D663,products!$A$1:$A$49,0),MATCH(orders!K$1,products!$A$1:$G$1,0))</f>
        <v>0.2</v>
      </c>
      <c r="L663" s="5">
        <f>INDEX(products!$A$1:$G$49,MATCH($D663,products!$A$1:$A$49,0),MATCH(orders!L$1,products!$A$1:$G$1,0))</f>
        <v>3.375</v>
      </c>
      <c r="M663" s="5">
        <f t="shared" si="20"/>
        <v>20.25</v>
      </c>
      <c r="N663" t="str">
        <f>IF(I663="Rob","Robusta",IF(I663="Exc","Excelsa",IF(I663="Ara","Arabica",IF(I663="Lib","Liberica",""))))</f>
        <v>Arabica</v>
      </c>
      <c r="O663" t="str">
        <f t="shared" si="21"/>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INDEX(products!$A$1:$G$49,MATCH($D664,products!$A$1:$A$49,0),MATCH(orders!I$1,products!$A$1:$G$1,0))</f>
        <v>Lib</v>
      </c>
      <c r="J664" t="str">
        <f>INDEX(products!$A$1:$G$49,MATCH($D664,products!$A$1:$A$49,0),MATCH(orders!J$1,products!$A$1:$G$1,0))</f>
        <v>D</v>
      </c>
      <c r="K664" s="4">
        <f>INDEX(products!$A$1:$G$49,MATCH($D664,products!$A$1:$A$49,0),MATCH(orders!K$1,products!$A$1:$G$1,0))</f>
        <v>2.5</v>
      </c>
      <c r="L664" s="5">
        <f>INDEX(products!$A$1:$G$49,MATCH($D664,products!$A$1:$A$49,0),MATCH(orders!L$1,products!$A$1:$G$1,0))</f>
        <v>29.784999999999997</v>
      </c>
      <c r="M664" s="5">
        <f t="shared" si="20"/>
        <v>148.92499999999998</v>
      </c>
      <c r="N664" t="str">
        <f>IF(I664="Rob","Robusta",IF(I664="Exc","Excelsa",IF(I664="Ara","Arabica",IF(I664="Lib","Liberica",""))))</f>
        <v>Liberica</v>
      </c>
      <c r="O664" t="str">
        <f t="shared" si="21"/>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INDEX(products!$A$1:$G$49,MATCH($D665,products!$A$1:$A$49,0),MATCH(orders!I$1,products!$A$1:$G$1,0))</f>
        <v>Ara</v>
      </c>
      <c r="J665" t="str">
        <f>INDEX(products!$A$1:$G$49,MATCH($D665,products!$A$1:$A$49,0),MATCH(orders!J$1,products!$A$1:$G$1,0))</f>
        <v>M</v>
      </c>
      <c r="K665" s="4">
        <f>INDEX(products!$A$1:$G$49,MATCH($D665,products!$A$1:$A$49,0),MATCH(orders!K$1,products!$A$1:$G$1,0))</f>
        <v>1</v>
      </c>
      <c r="L665" s="5">
        <f>INDEX(products!$A$1:$G$49,MATCH($D665,products!$A$1:$A$49,0),MATCH(orders!L$1,products!$A$1:$G$1,0))</f>
        <v>11.25</v>
      </c>
      <c r="M665" s="5">
        <f t="shared" si="20"/>
        <v>67.5</v>
      </c>
      <c r="N665" t="str">
        <f>IF(I665="Rob","Robusta",IF(I665="Exc","Excelsa",IF(I665="Ara","Arabica",IF(I665="Lib","Liberica",""))))</f>
        <v>Arabica</v>
      </c>
      <c r="O665" t="str">
        <f t="shared" si="21"/>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INDEX(products!$A$1:$G$49,MATCH($D666,products!$A$1:$A$49,0),MATCH(orders!I$1,products!$A$1:$G$1,0))</f>
        <v>Exc</v>
      </c>
      <c r="J666" t="str">
        <f>INDEX(products!$A$1:$G$49,MATCH($D666,products!$A$1:$A$49,0),MATCH(orders!J$1,products!$A$1:$G$1,0))</f>
        <v>D</v>
      </c>
      <c r="K666" s="4">
        <f>INDEX(products!$A$1:$G$49,MATCH($D666,products!$A$1:$A$49,0),MATCH(orders!K$1,products!$A$1:$G$1,0))</f>
        <v>1</v>
      </c>
      <c r="L666" s="5">
        <f>INDEX(products!$A$1:$G$49,MATCH($D666,products!$A$1:$A$49,0),MATCH(orders!L$1,products!$A$1:$G$1,0))</f>
        <v>12.15</v>
      </c>
      <c r="M666" s="5">
        <f t="shared" si="20"/>
        <v>72.900000000000006</v>
      </c>
      <c r="N666" t="str">
        <f>IF(I666="Rob","Robusta",IF(I666="Exc","Excelsa",IF(I666="Ara","Arabica",IF(I666="Lib","Liberica",""))))</f>
        <v>Excelsa</v>
      </c>
      <c r="O666" t="str">
        <f t="shared" si="21"/>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INDEX(products!$A$1:$G$49,MATCH($D667,products!$A$1:$A$49,0),MATCH(orders!I$1,products!$A$1:$G$1,0))</f>
        <v>Lib</v>
      </c>
      <c r="J667" t="str">
        <f>INDEX(products!$A$1:$G$49,MATCH($D667,products!$A$1:$A$49,0),MATCH(orders!J$1,products!$A$1:$G$1,0))</f>
        <v>D</v>
      </c>
      <c r="K667" s="4">
        <f>INDEX(products!$A$1:$G$49,MATCH($D667,products!$A$1:$A$49,0),MATCH(orders!K$1,products!$A$1:$G$1,0))</f>
        <v>0.2</v>
      </c>
      <c r="L667" s="5">
        <f>INDEX(products!$A$1:$G$49,MATCH($D667,products!$A$1:$A$49,0),MATCH(orders!L$1,products!$A$1:$G$1,0))</f>
        <v>3.8849999999999998</v>
      </c>
      <c r="M667" s="5">
        <f t="shared" si="20"/>
        <v>7.77</v>
      </c>
      <c r="N667" t="str">
        <f>IF(I667="Rob","Robusta",IF(I667="Exc","Excelsa",IF(I667="Ara","Arabica",IF(I667="Lib","Liberica",""))))</f>
        <v>Liberica</v>
      </c>
      <c r="O667" t="str">
        <f t="shared" si="21"/>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INDEX(products!$A$1:$G$49,MATCH($D668,products!$A$1:$A$49,0),MATCH(orders!I$1,products!$A$1:$G$1,0))</f>
        <v>Ara</v>
      </c>
      <c r="J668" t="str">
        <f>INDEX(products!$A$1:$G$49,MATCH($D668,products!$A$1:$A$49,0),MATCH(orders!J$1,products!$A$1:$G$1,0))</f>
        <v>D</v>
      </c>
      <c r="K668" s="4">
        <f>INDEX(products!$A$1:$G$49,MATCH($D668,products!$A$1:$A$49,0),MATCH(orders!K$1,products!$A$1:$G$1,0))</f>
        <v>2.5</v>
      </c>
      <c r="L668" s="5">
        <f>INDEX(products!$A$1:$G$49,MATCH($D668,products!$A$1:$A$49,0),MATCH(orders!L$1,products!$A$1:$G$1,0))</f>
        <v>22.884999999999998</v>
      </c>
      <c r="M668" s="5">
        <f t="shared" si="20"/>
        <v>91.539999999999992</v>
      </c>
      <c r="N668" t="str">
        <f>IF(I668="Rob","Robusta",IF(I668="Exc","Excelsa",IF(I668="Ara","Arabica",IF(I668="Lib","Liberica",""))))</f>
        <v>Arabica</v>
      </c>
      <c r="O668" t="str">
        <f t="shared" si="21"/>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INDEX(products!$A$1:$G$49,MATCH($D669,products!$A$1:$A$49,0),MATCH(orders!I$1,products!$A$1:$G$1,0))</f>
        <v>Ara</v>
      </c>
      <c r="J669" t="str">
        <f>INDEX(products!$A$1:$G$49,MATCH($D669,products!$A$1:$A$49,0),MATCH(orders!J$1,products!$A$1:$G$1,0))</f>
        <v>D</v>
      </c>
      <c r="K669" s="4">
        <f>INDEX(products!$A$1:$G$49,MATCH($D669,products!$A$1:$A$49,0),MATCH(orders!K$1,products!$A$1:$G$1,0))</f>
        <v>1</v>
      </c>
      <c r="L669" s="5">
        <f>INDEX(products!$A$1:$G$49,MATCH($D669,products!$A$1:$A$49,0),MATCH(orders!L$1,products!$A$1:$G$1,0))</f>
        <v>9.9499999999999993</v>
      </c>
      <c r="M669" s="5">
        <f t="shared" si="20"/>
        <v>59.699999999999996</v>
      </c>
      <c r="N669" t="str">
        <f>IF(I669="Rob","Robusta",IF(I669="Exc","Excelsa",IF(I669="Ara","Arabica",IF(I669="Lib","Liberica",""))))</f>
        <v>Arabica</v>
      </c>
      <c r="O669" t="str">
        <f t="shared" si="21"/>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INDEX(products!$A$1:$G$49,MATCH($D670,products!$A$1:$A$49,0),MATCH(orders!I$1,products!$A$1:$G$1,0))</f>
        <v>Rob</v>
      </c>
      <c r="J670" t="str">
        <f>INDEX(products!$A$1:$G$49,MATCH($D670,products!$A$1:$A$49,0),MATCH(orders!J$1,products!$A$1:$G$1,0))</f>
        <v>L</v>
      </c>
      <c r="K670" s="4">
        <f>INDEX(products!$A$1:$G$49,MATCH($D670,products!$A$1:$A$49,0),MATCH(orders!K$1,products!$A$1:$G$1,0))</f>
        <v>2.5</v>
      </c>
      <c r="L670" s="5">
        <f>INDEX(products!$A$1:$G$49,MATCH($D670,products!$A$1:$A$49,0),MATCH(orders!L$1,products!$A$1:$G$1,0))</f>
        <v>27.484999999999996</v>
      </c>
      <c r="M670" s="5">
        <f t="shared" si="20"/>
        <v>137.42499999999998</v>
      </c>
      <c r="N670" t="str">
        <f>IF(I670="Rob","Robusta",IF(I670="Exc","Excelsa",IF(I670="Ara","Arabica",IF(I670="Lib","Liberica",""))))</f>
        <v>Robusta</v>
      </c>
      <c r="O670" t="str">
        <f t="shared" si="21"/>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INDEX(products!$A$1:$G$49,MATCH($D671,products!$A$1:$A$49,0),MATCH(orders!I$1,products!$A$1:$G$1,0))</f>
        <v>Lib</v>
      </c>
      <c r="J671" t="str">
        <f>INDEX(products!$A$1:$G$49,MATCH($D671,products!$A$1:$A$49,0),MATCH(orders!J$1,products!$A$1:$G$1,0))</f>
        <v>M</v>
      </c>
      <c r="K671" s="4">
        <f>INDEX(products!$A$1:$G$49,MATCH($D671,products!$A$1:$A$49,0),MATCH(orders!K$1,products!$A$1:$G$1,0))</f>
        <v>2.5</v>
      </c>
      <c r="L671" s="5">
        <f>INDEX(products!$A$1:$G$49,MATCH($D671,products!$A$1:$A$49,0),MATCH(orders!L$1,products!$A$1:$G$1,0))</f>
        <v>33.464999999999996</v>
      </c>
      <c r="M671" s="5">
        <f t="shared" si="20"/>
        <v>66.929999999999993</v>
      </c>
      <c r="N671" t="str">
        <f>IF(I671="Rob","Robusta",IF(I671="Exc","Excelsa",IF(I671="Ara","Arabica",IF(I671="Lib","Liberica",""))))</f>
        <v>Liberica</v>
      </c>
      <c r="O671" t="str">
        <f t="shared" si="21"/>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INDEX(products!$A$1:$G$49,MATCH($D672,products!$A$1:$A$49,0),MATCH(orders!I$1,products!$A$1:$G$1,0))</f>
        <v>Lib</v>
      </c>
      <c r="J672" t="str">
        <f>INDEX(products!$A$1:$G$49,MATCH($D672,products!$A$1:$A$49,0),MATCH(orders!J$1,products!$A$1:$G$1,0))</f>
        <v>M</v>
      </c>
      <c r="K672" s="4">
        <f>INDEX(products!$A$1:$G$49,MATCH($D672,products!$A$1:$A$49,0),MATCH(orders!K$1,products!$A$1:$G$1,0))</f>
        <v>0.2</v>
      </c>
      <c r="L672" s="5">
        <f>INDEX(products!$A$1:$G$49,MATCH($D672,products!$A$1:$A$49,0),MATCH(orders!L$1,products!$A$1:$G$1,0))</f>
        <v>4.3650000000000002</v>
      </c>
      <c r="M672" s="5">
        <f t="shared" si="20"/>
        <v>13.095000000000001</v>
      </c>
      <c r="N672" t="str">
        <f>IF(I672="Rob","Robusta",IF(I672="Exc","Excelsa",IF(I672="Ara","Arabica",IF(I672="Lib","Liberica",""))))</f>
        <v>Liberica</v>
      </c>
      <c r="O672" t="str">
        <f t="shared" si="21"/>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INDEX(products!$A$1:$G$49,MATCH($D673,products!$A$1:$A$49,0),MATCH(orders!I$1,products!$A$1:$G$1,0))</f>
        <v>Rob</v>
      </c>
      <c r="J673" t="str">
        <f>INDEX(products!$A$1:$G$49,MATCH($D673,products!$A$1:$A$49,0),MATCH(orders!J$1,products!$A$1:$G$1,0))</f>
        <v>L</v>
      </c>
      <c r="K673" s="4">
        <f>INDEX(products!$A$1:$G$49,MATCH($D673,products!$A$1:$A$49,0),MATCH(orders!K$1,products!$A$1:$G$1,0))</f>
        <v>1</v>
      </c>
      <c r="L673" s="5">
        <f>INDEX(products!$A$1:$G$49,MATCH($D673,products!$A$1:$A$49,0),MATCH(orders!L$1,products!$A$1:$G$1,0))</f>
        <v>11.95</v>
      </c>
      <c r="M673" s="5">
        <f t="shared" si="20"/>
        <v>59.75</v>
      </c>
      <c r="N673" t="str">
        <f>IF(I673="Rob","Robusta",IF(I673="Exc","Excelsa",IF(I673="Ara","Arabica",IF(I673="Lib","Liberica",""))))</f>
        <v>Robusta</v>
      </c>
      <c r="O673" t="str">
        <f t="shared" si="21"/>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INDEX(products!$A$1:$G$49,MATCH($D674,products!$A$1:$A$49,0),MATCH(orders!I$1,products!$A$1:$G$1,0))</f>
        <v>Lib</v>
      </c>
      <c r="J674" t="str">
        <f>INDEX(products!$A$1:$G$49,MATCH($D674,products!$A$1:$A$49,0),MATCH(orders!J$1,products!$A$1:$G$1,0))</f>
        <v>M</v>
      </c>
      <c r="K674" s="4">
        <f>INDEX(products!$A$1:$G$49,MATCH($D674,products!$A$1:$A$49,0),MATCH(orders!K$1,products!$A$1:$G$1,0))</f>
        <v>0.5</v>
      </c>
      <c r="L674" s="5">
        <f>INDEX(products!$A$1:$G$49,MATCH($D674,products!$A$1:$A$49,0),MATCH(orders!L$1,products!$A$1:$G$1,0))</f>
        <v>8.73</v>
      </c>
      <c r="M674" s="5">
        <f t="shared" si="20"/>
        <v>43.650000000000006</v>
      </c>
      <c r="N674" t="str">
        <f>IF(I674="Rob","Robusta",IF(I674="Exc","Excelsa",IF(I674="Ara","Arabica",IF(I674="Lib","Liberica",""))))</f>
        <v>Liberica</v>
      </c>
      <c r="O674" t="str">
        <f t="shared" si="21"/>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INDEX(products!$A$1:$G$49,MATCH($D675,products!$A$1:$A$49,0),MATCH(orders!I$1,products!$A$1:$G$1,0))</f>
        <v>Exc</v>
      </c>
      <c r="J675" t="str">
        <f>INDEX(products!$A$1:$G$49,MATCH($D675,products!$A$1:$A$49,0),MATCH(orders!J$1,products!$A$1:$G$1,0))</f>
        <v>M</v>
      </c>
      <c r="K675" s="4">
        <f>INDEX(products!$A$1:$G$49,MATCH($D675,products!$A$1:$A$49,0),MATCH(orders!K$1,products!$A$1:$G$1,0))</f>
        <v>1</v>
      </c>
      <c r="L675" s="5">
        <f>INDEX(products!$A$1:$G$49,MATCH($D675,products!$A$1:$A$49,0),MATCH(orders!L$1,products!$A$1:$G$1,0))</f>
        <v>13.75</v>
      </c>
      <c r="M675" s="5">
        <f t="shared" si="20"/>
        <v>82.5</v>
      </c>
      <c r="N675" t="str">
        <f>IF(I675="Rob","Robusta",IF(I675="Exc","Excelsa",IF(I675="Ara","Arabica",IF(I675="Lib","Liberica",""))))</f>
        <v>Excelsa</v>
      </c>
      <c r="O675" t="str">
        <f t="shared" si="21"/>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INDEX(products!$A$1:$G$49,MATCH($D676,products!$A$1:$A$49,0),MATCH(orders!I$1,products!$A$1:$G$1,0))</f>
        <v>Ara</v>
      </c>
      <c r="J676" t="str">
        <f>INDEX(products!$A$1:$G$49,MATCH($D676,products!$A$1:$A$49,0),MATCH(orders!J$1,products!$A$1:$G$1,0))</f>
        <v>L</v>
      </c>
      <c r="K676" s="4">
        <f>INDEX(products!$A$1:$G$49,MATCH($D676,products!$A$1:$A$49,0),MATCH(orders!K$1,products!$A$1:$G$1,0))</f>
        <v>2.5</v>
      </c>
      <c r="L676" s="5">
        <f>INDEX(products!$A$1:$G$49,MATCH($D676,products!$A$1:$A$49,0),MATCH(orders!L$1,products!$A$1:$G$1,0))</f>
        <v>29.784999999999997</v>
      </c>
      <c r="M676" s="5">
        <f t="shared" si="20"/>
        <v>178.70999999999998</v>
      </c>
      <c r="N676" t="str">
        <f>IF(I676="Rob","Robusta",IF(I676="Exc","Excelsa",IF(I676="Ara","Arabica",IF(I676="Lib","Liberica",""))))</f>
        <v>Arabica</v>
      </c>
      <c r="O676" t="str">
        <f t="shared" si="21"/>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INDEX(products!$A$1:$G$49,MATCH($D677,products!$A$1:$A$49,0),MATCH(orders!I$1,products!$A$1:$G$1,0))</f>
        <v>Lib</v>
      </c>
      <c r="J677" t="str">
        <f>INDEX(products!$A$1:$G$49,MATCH($D677,products!$A$1:$A$49,0),MATCH(orders!J$1,products!$A$1:$G$1,0))</f>
        <v>D</v>
      </c>
      <c r="K677" s="4">
        <f>INDEX(products!$A$1:$G$49,MATCH($D677,products!$A$1:$A$49,0),MATCH(orders!K$1,products!$A$1:$G$1,0))</f>
        <v>2.5</v>
      </c>
      <c r="L677" s="5">
        <f>INDEX(products!$A$1:$G$49,MATCH($D677,products!$A$1:$A$49,0),MATCH(orders!L$1,products!$A$1:$G$1,0))</f>
        <v>29.784999999999997</v>
      </c>
      <c r="M677" s="5">
        <f t="shared" si="20"/>
        <v>119.13999999999999</v>
      </c>
      <c r="N677" t="str">
        <f>IF(I677="Rob","Robusta",IF(I677="Exc","Excelsa",IF(I677="Ara","Arabica",IF(I677="Lib","Liberica",""))))</f>
        <v>Liberica</v>
      </c>
      <c r="O677" t="str">
        <f t="shared" si="21"/>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INDEX(products!$A$1:$G$49,MATCH($D678,products!$A$1:$A$49,0),MATCH(orders!I$1,products!$A$1:$G$1,0))</f>
        <v>Lib</v>
      </c>
      <c r="J678" t="str">
        <f>INDEX(products!$A$1:$G$49,MATCH($D678,products!$A$1:$A$49,0),MATCH(orders!J$1,products!$A$1:$G$1,0))</f>
        <v>L</v>
      </c>
      <c r="K678" s="4">
        <f>INDEX(products!$A$1:$G$49,MATCH($D678,products!$A$1:$A$49,0),MATCH(orders!K$1,products!$A$1:$G$1,0))</f>
        <v>0.5</v>
      </c>
      <c r="L678" s="5">
        <f>INDEX(products!$A$1:$G$49,MATCH($D678,products!$A$1:$A$49,0),MATCH(orders!L$1,products!$A$1:$G$1,0))</f>
        <v>9.51</v>
      </c>
      <c r="M678" s="5">
        <f t="shared" si="20"/>
        <v>47.55</v>
      </c>
      <c r="N678" t="str">
        <f>IF(I678="Rob","Robusta",IF(I678="Exc","Excelsa",IF(I678="Ara","Arabica",IF(I678="Lib","Liberica",""))))</f>
        <v>Liberica</v>
      </c>
      <c r="O678" t="str">
        <f t="shared" si="21"/>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INDEX(products!$A$1:$G$49,MATCH($D679,products!$A$1:$A$49,0),MATCH(orders!I$1,products!$A$1:$G$1,0))</f>
        <v>Lib</v>
      </c>
      <c r="J679" t="str">
        <f>INDEX(products!$A$1:$G$49,MATCH($D679,products!$A$1:$A$49,0),MATCH(orders!J$1,products!$A$1:$G$1,0))</f>
        <v>M</v>
      </c>
      <c r="K679" s="4">
        <f>INDEX(products!$A$1:$G$49,MATCH($D679,products!$A$1:$A$49,0),MATCH(orders!K$1,products!$A$1:$G$1,0))</f>
        <v>0.5</v>
      </c>
      <c r="L679" s="5">
        <f>INDEX(products!$A$1:$G$49,MATCH($D679,products!$A$1:$A$49,0),MATCH(orders!L$1,products!$A$1:$G$1,0))</f>
        <v>8.73</v>
      </c>
      <c r="M679" s="5">
        <f t="shared" si="20"/>
        <v>43.650000000000006</v>
      </c>
      <c r="N679" t="str">
        <f>IF(I679="Rob","Robusta",IF(I679="Exc","Excelsa",IF(I679="Ara","Arabica",IF(I679="Lib","Liberica",""))))</f>
        <v>Liberica</v>
      </c>
      <c r="O679" t="str">
        <f t="shared" si="21"/>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INDEX(products!$A$1:$G$49,MATCH($D680,products!$A$1:$A$49,0),MATCH(orders!I$1,products!$A$1:$G$1,0))</f>
        <v>Ara</v>
      </c>
      <c r="J680" t="str">
        <f>INDEX(products!$A$1:$G$49,MATCH($D680,products!$A$1:$A$49,0),MATCH(orders!J$1,products!$A$1:$G$1,0))</f>
        <v>L</v>
      </c>
      <c r="K680" s="4">
        <f>INDEX(products!$A$1:$G$49,MATCH($D680,products!$A$1:$A$49,0),MATCH(orders!K$1,products!$A$1:$G$1,0))</f>
        <v>2.5</v>
      </c>
      <c r="L680" s="5">
        <f>INDEX(products!$A$1:$G$49,MATCH($D680,products!$A$1:$A$49,0),MATCH(orders!L$1,products!$A$1:$G$1,0))</f>
        <v>29.784999999999997</v>
      </c>
      <c r="M680" s="5">
        <f t="shared" si="20"/>
        <v>178.70999999999998</v>
      </c>
      <c r="N680" t="str">
        <f>IF(I680="Rob","Robusta",IF(I680="Exc","Excelsa",IF(I680="Ara","Arabica",IF(I680="Lib","Liberica",""))))</f>
        <v>Arabica</v>
      </c>
      <c r="O680" t="str">
        <f t="shared" si="21"/>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INDEX(products!$A$1:$G$49,MATCH($D681,products!$A$1:$A$49,0),MATCH(orders!I$1,products!$A$1:$G$1,0))</f>
        <v>Rob</v>
      </c>
      <c r="J681" t="str">
        <f>INDEX(products!$A$1:$G$49,MATCH($D681,products!$A$1:$A$49,0),MATCH(orders!J$1,products!$A$1:$G$1,0))</f>
        <v>L</v>
      </c>
      <c r="K681" s="4">
        <f>INDEX(products!$A$1:$G$49,MATCH($D681,products!$A$1:$A$49,0),MATCH(orders!K$1,products!$A$1:$G$1,0))</f>
        <v>2.5</v>
      </c>
      <c r="L681" s="5">
        <f>INDEX(products!$A$1:$G$49,MATCH($D681,products!$A$1:$A$49,0),MATCH(orders!L$1,products!$A$1:$G$1,0))</f>
        <v>27.484999999999996</v>
      </c>
      <c r="M681" s="5">
        <f t="shared" si="20"/>
        <v>27.484999999999996</v>
      </c>
      <c r="N681" t="str">
        <f>IF(I681="Rob","Robusta",IF(I681="Exc","Excelsa",IF(I681="Ara","Arabica",IF(I681="Lib","Liberica",""))))</f>
        <v>Robusta</v>
      </c>
      <c r="O681" t="str">
        <f t="shared" si="21"/>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INDEX(products!$A$1:$G$49,MATCH($D682,products!$A$1:$A$49,0),MATCH(orders!I$1,products!$A$1:$G$1,0))</f>
        <v>Ara</v>
      </c>
      <c r="J682" t="str">
        <f>INDEX(products!$A$1:$G$49,MATCH($D682,products!$A$1:$A$49,0),MATCH(orders!J$1,products!$A$1:$G$1,0))</f>
        <v>M</v>
      </c>
      <c r="K682" s="4">
        <f>INDEX(products!$A$1:$G$49,MATCH($D682,products!$A$1:$A$49,0),MATCH(orders!K$1,products!$A$1:$G$1,0))</f>
        <v>1</v>
      </c>
      <c r="L682" s="5">
        <f>INDEX(products!$A$1:$G$49,MATCH($D682,products!$A$1:$A$49,0),MATCH(orders!L$1,products!$A$1:$G$1,0))</f>
        <v>11.25</v>
      </c>
      <c r="M682" s="5">
        <f t="shared" si="20"/>
        <v>56.25</v>
      </c>
      <c r="N682" t="str">
        <f>IF(I682="Rob","Robusta",IF(I682="Exc","Excelsa",IF(I682="Ara","Arabica",IF(I682="Lib","Liberica",""))))</f>
        <v>Arabica</v>
      </c>
      <c r="O682" t="str">
        <f t="shared" si="21"/>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INDEX(products!$A$1:$G$49,MATCH($D683,products!$A$1:$A$49,0),MATCH(orders!I$1,products!$A$1:$G$1,0))</f>
        <v>Lib</v>
      </c>
      <c r="J683" t="str">
        <f>INDEX(products!$A$1:$G$49,MATCH($D683,products!$A$1:$A$49,0),MATCH(orders!J$1,products!$A$1:$G$1,0))</f>
        <v>L</v>
      </c>
      <c r="K683" s="4">
        <f>INDEX(products!$A$1:$G$49,MATCH($D683,products!$A$1:$A$49,0),MATCH(orders!K$1,products!$A$1:$G$1,0))</f>
        <v>0.2</v>
      </c>
      <c r="L683" s="5">
        <f>INDEX(products!$A$1:$G$49,MATCH($D683,products!$A$1:$A$49,0),MATCH(orders!L$1,products!$A$1:$G$1,0))</f>
        <v>4.7549999999999999</v>
      </c>
      <c r="M683" s="5">
        <f t="shared" si="20"/>
        <v>9.51</v>
      </c>
      <c r="N683" t="str">
        <f>IF(I683="Rob","Robusta",IF(I683="Exc","Excelsa",IF(I683="Ara","Arabica",IF(I683="Lib","Liberica",""))))</f>
        <v>Liberica</v>
      </c>
      <c r="O683" t="str">
        <f t="shared" si="21"/>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INDEX(products!$A$1:$G$49,MATCH($D684,products!$A$1:$A$49,0),MATCH(orders!I$1,products!$A$1:$G$1,0))</f>
        <v>Exc</v>
      </c>
      <c r="J684" t="str">
        <f>INDEX(products!$A$1:$G$49,MATCH($D684,products!$A$1:$A$49,0),MATCH(orders!J$1,products!$A$1:$G$1,0))</f>
        <v>M</v>
      </c>
      <c r="K684" s="4">
        <f>INDEX(products!$A$1:$G$49,MATCH($D684,products!$A$1:$A$49,0),MATCH(orders!K$1,products!$A$1:$G$1,0))</f>
        <v>0.2</v>
      </c>
      <c r="L684" s="5">
        <f>INDEX(products!$A$1:$G$49,MATCH($D684,products!$A$1:$A$49,0),MATCH(orders!L$1,products!$A$1:$G$1,0))</f>
        <v>4.125</v>
      </c>
      <c r="M684" s="5">
        <f t="shared" si="20"/>
        <v>8.25</v>
      </c>
      <c r="N684" t="str">
        <f>IF(I684="Rob","Robusta",IF(I684="Exc","Excelsa",IF(I684="Ara","Arabica",IF(I684="Lib","Liberica",""))))</f>
        <v>Excelsa</v>
      </c>
      <c r="O684" t="str">
        <f t="shared" si="21"/>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INDEX(products!$A$1:$G$49,MATCH($D685,products!$A$1:$A$49,0),MATCH(orders!I$1,products!$A$1:$G$1,0))</f>
        <v>Lib</v>
      </c>
      <c r="J685" t="str">
        <f>INDEX(products!$A$1:$G$49,MATCH($D685,products!$A$1:$A$49,0),MATCH(orders!J$1,products!$A$1:$G$1,0))</f>
        <v>D</v>
      </c>
      <c r="K685" s="4">
        <f>INDEX(products!$A$1:$G$49,MATCH($D685,products!$A$1:$A$49,0),MATCH(orders!K$1,products!$A$1:$G$1,0))</f>
        <v>0.5</v>
      </c>
      <c r="L685" s="5">
        <f>INDEX(products!$A$1:$G$49,MATCH($D685,products!$A$1:$A$49,0),MATCH(orders!L$1,products!$A$1:$G$1,0))</f>
        <v>7.77</v>
      </c>
      <c r="M685" s="5">
        <f t="shared" si="20"/>
        <v>46.62</v>
      </c>
      <c r="N685" t="str">
        <f>IF(I685="Rob","Robusta",IF(I685="Exc","Excelsa",IF(I685="Ara","Arabica",IF(I685="Lib","Liberica",""))))</f>
        <v>Liberica</v>
      </c>
      <c r="O685" t="str">
        <f t="shared" si="21"/>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INDEX(products!$A$1:$G$49,MATCH($D686,products!$A$1:$A$49,0),MATCH(orders!I$1,products!$A$1:$G$1,0))</f>
        <v>Rob</v>
      </c>
      <c r="J686" t="str">
        <f>INDEX(products!$A$1:$G$49,MATCH($D686,products!$A$1:$A$49,0),MATCH(orders!J$1,products!$A$1:$G$1,0))</f>
        <v>L</v>
      </c>
      <c r="K686" s="4">
        <f>INDEX(products!$A$1:$G$49,MATCH($D686,products!$A$1:$A$49,0),MATCH(orders!K$1,products!$A$1:$G$1,0))</f>
        <v>1</v>
      </c>
      <c r="L686" s="5">
        <f>INDEX(products!$A$1:$G$49,MATCH($D686,products!$A$1:$A$49,0),MATCH(orders!L$1,products!$A$1:$G$1,0))</f>
        <v>11.95</v>
      </c>
      <c r="M686" s="5">
        <f t="shared" si="20"/>
        <v>71.699999999999989</v>
      </c>
      <c r="N686" t="str">
        <f>IF(I686="Rob","Robusta",IF(I686="Exc","Excelsa",IF(I686="Ara","Arabica",IF(I686="Lib","Liberica",""))))</f>
        <v>Robusta</v>
      </c>
      <c r="O686" t="str">
        <f t="shared" si="21"/>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INDEX(products!$A$1:$G$49,MATCH($D687,products!$A$1:$A$49,0),MATCH(orders!I$1,products!$A$1:$G$1,0))</f>
        <v>Lib</v>
      </c>
      <c r="J687" t="str">
        <f>INDEX(products!$A$1:$G$49,MATCH($D687,products!$A$1:$A$49,0),MATCH(orders!J$1,products!$A$1:$G$1,0))</f>
        <v>L</v>
      </c>
      <c r="K687" s="4">
        <f>INDEX(products!$A$1:$G$49,MATCH($D687,products!$A$1:$A$49,0),MATCH(orders!K$1,products!$A$1:$G$1,0))</f>
        <v>2.5</v>
      </c>
      <c r="L687" s="5">
        <f>INDEX(products!$A$1:$G$49,MATCH($D687,products!$A$1:$A$49,0),MATCH(orders!L$1,products!$A$1:$G$1,0))</f>
        <v>36.454999999999998</v>
      </c>
      <c r="M687" s="5">
        <f t="shared" si="20"/>
        <v>72.91</v>
      </c>
      <c r="N687" t="str">
        <f>IF(I687="Rob","Robusta",IF(I687="Exc","Excelsa",IF(I687="Ara","Arabica",IF(I687="Lib","Liberica",""))))</f>
        <v>Liberica</v>
      </c>
      <c r="O687" t="str">
        <f t="shared" si="21"/>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INDEX(products!$A$1:$G$49,MATCH($D688,products!$A$1:$A$49,0),MATCH(orders!I$1,products!$A$1:$G$1,0))</f>
        <v>Rob</v>
      </c>
      <c r="J688" t="str">
        <f>INDEX(products!$A$1:$G$49,MATCH($D688,products!$A$1:$A$49,0),MATCH(orders!J$1,products!$A$1:$G$1,0))</f>
        <v>D</v>
      </c>
      <c r="K688" s="4">
        <f>INDEX(products!$A$1:$G$49,MATCH($D688,products!$A$1:$A$49,0),MATCH(orders!K$1,products!$A$1:$G$1,0))</f>
        <v>0.2</v>
      </c>
      <c r="L688" s="5">
        <f>INDEX(products!$A$1:$G$49,MATCH($D688,products!$A$1:$A$49,0),MATCH(orders!L$1,products!$A$1:$G$1,0))</f>
        <v>2.6849999999999996</v>
      </c>
      <c r="M688" s="5">
        <f t="shared" si="20"/>
        <v>8.0549999999999997</v>
      </c>
      <c r="N688" t="str">
        <f>IF(I688="Rob","Robusta",IF(I688="Exc","Excelsa",IF(I688="Ara","Arabica",IF(I688="Lib","Liberica",""))))</f>
        <v>Robusta</v>
      </c>
      <c r="O688" t="str">
        <f t="shared" si="21"/>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INDEX(products!$A$1:$G$49,MATCH($D689,products!$A$1:$A$49,0),MATCH(orders!I$1,products!$A$1:$G$1,0))</f>
        <v>Exc</v>
      </c>
      <c r="J689" t="str">
        <f>INDEX(products!$A$1:$G$49,MATCH($D689,products!$A$1:$A$49,0),MATCH(orders!J$1,products!$A$1:$G$1,0))</f>
        <v>M</v>
      </c>
      <c r="K689" s="4">
        <f>INDEX(products!$A$1:$G$49,MATCH($D689,products!$A$1:$A$49,0),MATCH(orders!K$1,products!$A$1:$G$1,0))</f>
        <v>0.5</v>
      </c>
      <c r="L689" s="5">
        <f>INDEX(products!$A$1:$G$49,MATCH($D689,products!$A$1:$A$49,0),MATCH(orders!L$1,products!$A$1:$G$1,0))</f>
        <v>8.25</v>
      </c>
      <c r="M689" s="5">
        <f t="shared" si="20"/>
        <v>16.5</v>
      </c>
      <c r="N689" t="str">
        <f>IF(I689="Rob","Robusta",IF(I689="Exc","Excelsa",IF(I689="Ara","Arabica",IF(I689="Lib","Liberica",""))))</f>
        <v>Excelsa</v>
      </c>
      <c r="O689" t="str">
        <f t="shared" si="21"/>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INDEX(products!$A$1:$G$49,MATCH($D690,products!$A$1:$A$49,0),MATCH(orders!I$1,products!$A$1:$G$1,0))</f>
        <v>Ara</v>
      </c>
      <c r="J690" t="str">
        <f>INDEX(products!$A$1:$G$49,MATCH($D690,products!$A$1:$A$49,0),MATCH(orders!J$1,products!$A$1:$G$1,0))</f>
        <v>L</v>
      </c>
      <c r="K690" s="4">
        <f>INDEX(products!$A$1:$G$49,MATCH($D690,products!$A$1:$A$49,0),MATCH(orders!K$1,products!$A$1:$G$1,0))</f>
        <v>1</v>
      </c>
      <c r="L690" s="5">
        <f>INDEX(products!$A$1:$G$49,MATCH($D690,products!$A$1:$A$49,0),MATCH(orders!L$1,products!$A$1:$G$1,0))</f>
        <v>12.95</v>
      </c>
      <c r="M690" s="5">
        <f t="shared" si="20"/>
        <v>64.75</v>
      </c>
      <c r="N690" t="str">
        <f>IF(I690="Rob","Robusta",IF(I690="Exc","Excelsa",IF(I690="Ara","Arabica",IF(I690="Lib","Liberica",""))))</f>
        <v>Arabica</v>
      </c>
      <c r="O690" t="str">
        <f t="shared" si="21"/>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INDEX(products!$A$1:$G$49,MATCH($D691,products!$A$1:$A$49,0),MATCH(orders!I$1,products!$A$1:$G$1,0))</f>
        <v>Ara</v>
      </c>
      <c r="J691" t="str">
        <f>INDEX(products!$A$1:$G$49,MATCH($D691,products!$A$1:$A$49,0),MATCH(orders!J$1,products!$A$1:$G$1,0))</f>
        <v>M</v>
      </c>
      <c r="K691" s="4">
        <f>INDEX(products!$A$1:$G$49,MATCH($D691,products!$A$1:$A$49,0),MATCH(orders!K$1,products!$A$1:$G$1,0))</f>
        <v>0.5</v>
      </c>
      <c r="L691" s="5">
        <f>INDEX(products!$A$1:$G$49,MATCH($D691,products!$A$1:$A$49,0),MATCH(orders!L$1,products!$A$1:$G$1,0))</f>
        <v>6.75</v>
      </c>
      <c r="M691" s="5">
        <f t="shared" si="20"/>
        <v>33.75</v>
      </c>
      <c r="N691" t="str">
        <f>IF(I691="Rob","Robusta",IF(I691="Exc","Excelsa",IF(I691="Ara","Arabica",IF(I691="Lib","Liberica",""))))</f>
        <v>Arabica</v>
      </c>
      <c r="O691" t="str">
        <f t="shared" si="21"/>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INDEX(products!$A$1:$G$49,MATCH($D692,products!$A$1:$A$49,0),MATCH(orders!I$1,products!$A$1:$G$1,0))</f>
        <v>Lib</v>
      </c>
      <c r="J692" t="str">
        <f>INDEX(products!$A$1:$G$49,MATCH($D692,products!$A$1:$A$49,0),MATCH(orders!J$1,products!$A$1:$G$1,0))</f>
        <v>D</v>
      </c>
      <c r="K692" s="4">
        <f>INDEX(products!$A$1:$G$49,MATCH($D692,products!$A$1:$A$49,0),MATCH(orders!K$1,products!$A$1:$G$1,0))</f>
        <v>2.5</v>
      </c>
      <c r="L692" s="5">
        <f>INDEX(products!$A$1:$G$49,MATCH($D692,products!$A$1:$A$49,0),MATCH(orders!L$1,products!$A$1:$G$1,0))</f>
        <v>29.784999999999997</v>
      </c>
      <c r="M692" s="5">
        <f t="shared" si="20"/>
        <v>178.70999999999998</v>
      </c>
      <c r="N692" t="str">
        <f>IF(I692="Rob","Robusta",IF(I692="Exc","Excelsa",IF(I692="Ara","Arabica",IF(I692="Lib","Liberica",""))))</f>
        <v>Liberica</v>
      </c>
      <c r="O692" t="str">
        <f t="shared" si="21"/>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INDEX(products!$A$1:$G$49,MATCH($D693,products!$A$1:$A$49,0),MATCH(orders!I$1,products!$A$1:$G$1,0))</f>
        <v>Ara</v>
      </c>
      <c r="J693" t="str">
        <f>INDEX(products!$A$1:$G$49,MATCH($D693,products!$A$1:$A$49,0),MATCH(orders!J$1,products!$A$1:$G$1,0))</f>
        <v>M</v>
      </c>
      <c r="K693" s="4">
        <f>INDEX(products!$A$1:$G$49,MATCH($D693,products!$A$1:$A$49,0),MATCH(orders!K$1,products!$A$1:$G$1,0))</f>
        <v>1</v>
      </c>
      <c r="L693" s="5">
        <f>INDEX(products!$A$1:$G$49,MATCH($D693,products!$A$1:$A$49,0),MATCH(orders!L$1,products!$A$1:$G$1,0))</f>
        <v>11.25</v>
      </c>
      <c r="M693" s="5">
        <f t="shared" si="20"/>
        <v>22.5</v>
      </c>
      <c r="N693" t="str">
        <f>IF(I693="Rob","Robusta",IF(I693="Exc","Excelsa",IF(I693="Ara","Arabica",IF(I693="Lib","Liberica",""))))</f>
        <v>Arabica</v>
      </c>
      <c r="O693" t="str">
        <f t="shared" si="21"/>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INDEX(products!$A$1:$G$49,MATCH($D694,products!$A$1:$A$49,0),MATCH(orders!I$1,products!$A$1:$G$1,0))</f>
        <v>Lib</v>
      </c>
      <c r="J694" t="str">
        <f>INDEX(products!$A$1:$G$49,MATCH($D694,products!$A$1:$A$49,0),MATCH(orders!J$1,products!$A$1:$G$1,0))</f>
        <v>D</v>
      </c>
      <c r="K694" s="4">
        <f>INDEX(products!$A$1:$G$49,MATCH($D694,products!$A$1:$A$49,0),MATCH(orders!K$1,products!$A$1:$G$1,0))</f>
        <v>1</v>
      </c>
      <c r="L694" s="5">
        <f>INDEX(products!$A$1:$G$49,MATCH($D694,products!$A$1:$A$49,0),MATCH(orders!L$1,products!$A$1:$G$1,0))</f>
        <v>12.95</v>
      </c>
      <c r="M694" s="5">
        <f t="shared" si="20"/>
        <v>12.95</v>
      </c>
      <c r="N694" t="str">
        <f>IF(I694="Rob","Robusta",IF(I694="Exc","Excelsa",IF(I694="Ara","Arabica",IF(I694="Lib","Liberica",""))))</f>
        <v>Liberica</v>
      </c>
      <c r="O694" t="str">
        <f t="shared" si="21"/>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INDEX(products!$A$1:$G$49,MATCH($D695,products!$A$1:$A$49,0),MATCH(orders!I$1,products!$A$1:$G$1,0))</f>
        <v>Ara</v>
      </c>
      <c r="J695" t="str">
        <f>INDEX(products!$A$1:$G$49,MATCH($D695,products!$A$1:$A$49,0),MATCH(orders!J$1,products!$A$1:$G$1,0))</f>
        <v>M</v>
      </c>
      <c r="K695" s="4">
        <f>INDEX(products!$A$1:$G$49,MATCH($D695,products!$A$1:$A$49,0),MATCH(orders!K$1,products!$A$1:$G$1,0))</f>
        <v>2.5</v>
      </c>
      <c r="L695" s="5">
        <f>INDEX(products!$A$1:$G$49,MATCH($D695,products!$A$1:$A$49,0),MATCH(orders!L$1,products!$A$1:$G$1,0))</f>
        <v>25.874999999999996</v>
      </c>
      <c r="M695" s="5">
        <f t="shared" si="20"/>
        <v>51.749999999999993</v>
      </c>
      <c r="N695" t="str">
        <f>IF(I695="Rob","Robusta",IF(I695="Exc","Excelsa",IF(I695="Ara","Arabica",IF(I695="Lib","Liberica",""))))</f>
        <v>Arabica</v>
      </c>
      <c r="O695" t="str">
        <f t="shared" si="21"/>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INDEX(products!$A$1:$G$49,MATCH($D696,products!$A$1:$A$49,0),MATCH(orders!I$1,products!$A$1:$G$1,0))</f>
        <v>Exc</v>
      </c>
      <c r="J696" t="str">
        <f>INDEX(products!$A$1:$G$49,MATCH($D696,products!$A$1:$A$49,0),MATCH(orders!J$1,products!$A$1:$G$1,0))</f>
        <v>D</v>
      </c>
      <c r="K696" s="4">
        <f>INDEX(products!$A$1:$G$49,MATCH($D696,products!$A$1:$A$49,0),MATCH(orders!K$1,products!$A$1:$G$1,0))</f>
        <v>0.5</v>
      </c>
      <c r="L696" s="5">
        <f>INDEX(products!$A$1:$G$49,MATCH($D696,products!$A$1:$A$49,0),MATCH(orders!L$1,products!$A$1:$G$1,0))</f>
        <v>7.29</v>
      </c>
      <c r="M696" s="5">
        <f t="shared" si="20"/>
        <v>36.450000000000003</v>
      </c>
      <c r="N696" t="str">
        <f>IF(I696="Rob","Robusta",IF(I696="Exc","Excelsa",IF(I696="Ara","Arabica",IF(I696="Lib","Liberica",""))))</f>
        <v>Excelsa</v>
      </c>
      <c r="O696" t="str">
        <f t="shared" si="21"/>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INDEX(products!$A$1:$G$49,MATCH($D697,products!$A$1:$A$49,0),MATCH(orders!I$1,products!$A$1:$G$1,0))</f>
        <v>Lib</v>
      </c>
      <c r="J697" t="str">
        <f>INDEX(products!$A$1:$G$49,MATCH($D697,products!$A$1:$A$49,0),MATCH(orders!J$1,products!$A$1:$G$1,0))</f>
        <v>L</v>
      </c>
      <c r="K697" s="4">
        <f>INDEX(products!$A$1:$G$49,MATCH($D697,products!$A$1:$A$49,0),MATCH(orders!K$1,products!$A$1:$G$1,0))</f>
        <v>2.5</v>
      </c>
      <c r="L697" s="5">
        <f>INDEX(products!$A$1:$G$49,MATCH($D697,products!$A$1:$A$49,0),MATCH(orders!L$1,products!$A$1:$G$1,0))</f>
        <v>36.454999999999998</v>
      </c>
      <c r="M697" s="5">
        <f t="shared" si="20"/>
        <v>182.27499999999998</v>
      </c>
      <c r="N697" t="str">
        <f>IF(I697="Rob","Robusta",IF(I697="Exc","Excelsa",IF(I697="Ara","Arabica",IF(I697="Lib","Liberica",""))))</f>
        <v>Liberica</v>
      </c>
      <c r="O697" t="str">
        <f t="shared" si="21"/>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INDEX(products!$A$1:$G$49,MATCH($D698,products!$A$1:$A$49,0),MATCH(orders!I$1,products!$A$1:$G$1,0))</f>
        <v>Lib</v>
      </c>
      <c r="J698" t="str">
        <f>INDEX(products!$A$1:$G$49,MATCH($D698,products!$A$1:$A$49,0),MATCH(orders!J$1,products!$A$1:$G$1,0))</f>
        <v>D</v>
      </c>
      <c r="K698" s="4">
        <f>INDEX(products!$A$1:$G$49,MATCH($D698,products!$A$1:$A$49,0),MATCH(orders!K$1,products!$A$1:$G$1,0))</f>
        <v>0.5</v>
      </c>
      <c r="L698" s="5">
        <f>INDEX(products!$A$1:$G$49,MATCH($D698,products!$A$1:$A$49,0),MATCH(orders!L$1,products!$A$1:$G$1,0))</f>
        <v>7.77</v>
      </c>
      <c r="M698" s="5">
        <f t="shared" si="20"/>
        <v>31.08</v>
      </c>
      <c r="N698" t="str">
        <f>IF(I698="Rob","Robusta",IF(I698="Exc","Excelsa",IF(I698="Ara","Arabica",IF(I698="Lib","Liberica",""))))</f>
        <v>Liberica</v>
      </c>
      <c r="O698" t="str">
        <f t="shared" si="21"/>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INDEX(products!$A$1:$G$49,MATCH($D699,products!$A$1:$A$49,0),MATCH(orders!I$1,products!$A$1:$G$1,0))</f>
        <v>Ara</v>
      </c>
      <c r="J699" t="str">
        <f>INDEX(products!$A$1:$G$49,MATCH($D699,products!$A$1:$A$49,0),MATCH(orders!J$1,products!$A$1:$G$1,0))</f>
        <v>M</v>
      </c>
      <c r="K699" s="4">
        <f>INDEX(products!$A$1:$G$49,MATCH($D699,products!$A$1:$A$49,0),MATCH(orders!K$1,products!$A$1:$G$1,0))</f>
        <v>0.5</v>
      </c>
      <c r="L699" s="5">
        <f>INDEX(products!$A$1:$G$49,MATCH($D699,products!$A$1:$A$49,0),MATCH(orders!L$1,products!$A$1:$G$1,0))</f>
        <v>6.75</v>
      </c>
      <c r="M699" s="5">
        <f t="shared" si="20"/>
        <v>20.25</v>
      </c>
      <c r="N699" t="str">
        <f>IF(I699="Rob","Robusta",IF(I699="Exc","Excelsa",IF(I699="Ara","Arabica",IF(I699="Lib","Liberica",""))))</f>
        <v>Arabica</v>
      </c>
      <c r="O699" t="str">
        <f t="shared" si="21"/>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INDEX(products!$A$1:$G$49,MATCH($D700,products!$A$1:$A$49,0),MATCH(orders!I$1,products!$A$1:$G$1,0))</f>
        <v>Lib</v>
      </c>
      <c r="J700" t="str">
        <f>INDEX(products!$A$1:$G$49,MATCH($D700,products!$A$1:$A$49,0),MATCH(orders!J$1,products!$A$1:$G$1,0))</f>
        <v>D</v>
      </c>
      <c r="K700" s="4">
        <f>INDEX(products!$A$1:$G$49,MATCH($D700,products!$A$1:$A$49,0),MATCH(orders!K$1,products!$A$1:$G$1,0))</f>
        <v>1</v>
      </c>
      <c r="L700" s="5">
        <f>INDEX(products!$A$1:$G$49,MATCH($D700,products!$A$1:$A$49,0),MATCH(orders!L$1,products!$A$1:$G$1,0))</f>
        <v>12.95</v>
      </c>
      <c r="M700" s="5">
        <f t="shared" si="20"/>
        <v>25.9</v>
      </c>
      <c r="N700" t="str">
        <f>IF(I700="Rob","Robusta",IF(I700="Exc","Excelsa",IF(I700="Ara","Arabica",IF(I700="Lib","Liberica",""))))</f>
        <v>Liberica</v>
      </c>
      <c r="O700" t="str">
        <f t="shared" si="21"/>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INDEX(products!$A$1:$G$49,MATCH($D701,products!$A$1:$A$49,0),MATCH(orders!I$1,products!$A$1:$G$1,0))</f>
        <v>Ara</v>
      </c>
      <c r="J701" t="str">
        <f>INDEX(products!$A$1:$G$49,MATCH($D701,products!$A$1:$A$49,0),MATCH(orders!J$1,products!$A$1:$G$1,0))</f>
        <v>D</v>
      </c>
      <c r="K701" s="4">
        <f>INDEX(products!$A$1:$G$49,MATCH($D701,products!$A$1:$A$49,0),MATCH(orders!K$1,products!$A$1:$G$1,0))</f>
        <v>0.5</v>
      </c>
      <c r="L701" s="5">
        <f>INDEX(products!$A$1:$G$49,MATCH($D701,products!$A$1:$A$49,0),MATCH(orders!L$1,products!$A$1:$G$1,0))</f>
        <v>5.97</v>
      </c>
      <c r="M701" s="5">
        <f t="shared" si="20"/>
        <v>23.88</v>
      </c>
      <c r="N701" t="str">
        <f>IF(I701="Rob","Robusta",IF(I701="Exc","Excelsa",IF(I701="Ara","Arabica",IF(I701="Lib","Liberica",""))))</f>
        <v>Arabica</v>
      </c>
      <c r="O701" t="str">
        <f t="shared" si="21"/>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INDEX(products!$A$1:$G$49,MATCH($D702,products!$A$1:$A$49,0),MATCH(orders!I$1,products!$A$1:$G$1,0))</f>
        <v>Lib</v>
      </c>
      <c r="J702" t="str">
        <f>INDEX(products!$A$1:$G$49,MATCH($D702,products!$A$1:$A$49,0),MATCH(orders!J$1,products!$A$1:$G$1,0))</f>
        <v>L</v>
      </c>
      <c r="K702" s="4">
        <f>INDEX(products!$A$1:$G$49,MATCH($D702,products!$A$1:$A$49,0),MATCH(orders!K$1,products!$A$1:$G$1,0))</f>
        <v>0.5</v>
      </c>
      <c r="L702" s="5">
        <f>INDEX(products!$A$1:$G$49,MATCH($D702,products!$A$1:$A$49,0),MATCH(orders!L$1,products!$A$1:$G$1,0))</f>
        <v>9.51</v>
      </c>
      <c r="M702" s="5">
        <f t="shared" si="20"/>
        <v>19.02</v>
      </c>
      <c r="N702" t="str">
        <f>IF(I702="Rob","Robusta",IF(I702="Exc","Excelsa",IF(I702="Ara","Arabica",IF(I702="Lib","Liberica",""))))</f>
        <v>Liberica</v>
      </c>
      <c r="O702" t="str">
        <f t="shared" si="21"/>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INDEX(products!$A$1:$G$49,MATCH($D703,products!$A$1:$A$49,0),MATCH(orders!I$1,products!$A$1:$G$1,0))</f>
        <v>Ara</v>
      </c>
      <c r="J703" t="str">
        <f>INDEX(products!$A$1:$G$49,MATCH($D703,products!$A$1:$A$49,0),MATCH(orders!J$1,products!$A$1:$G$1,0))</f>
        <v>D</v>
      </c>
      <c r="K703" s="4">
        <f>INDEX(products!$A$1:$G$49,MATCH($D703,products!$A$1:$A$49,0),MATCH(orders!K$1,products!$A$1:$G$1,0))</f>
        <v>0.5</v>
      </c>
      <c r="L703" s="5">
        <f>INDEX(products!$A$1:$G$49,MATCH($D703,products!$A$1:$A$49,0),MATCH(orders!L$1,products!$A$1:$G$1,0))</f>
        <v>5.97</v>
      </c>
      <c r="M703" s="5">
        <f t="shared" si="20"/>
        <v>29.849999999999998</v>
      </c>
      <c r="N703" t="str">
        <f>IF(I703="Rob","Robusta",IF(I703="Exc","Excelsa",IF(I703="Ara","Arabica",IF(I703="Lib","Liberica",""))))</f>
        <v>Arabica</v>
      </c>
      <c r="O703" t="str">
        <f t="shared" si="21"/>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INDEX(products!$A$1:$G$49,MATCH($D704,products!$A$1:$A$49,0),MATCH(orders!I$1,products!$A$1:$G$1,0))</f>
        <v>Ara</v>
      </c>
      <c r="J704" t="str">
        <f>INDEX(products!$A$1:$G$49,MATCH($D704,products!$A$1:$A$49,0),MATCH(orders!J$1,products!$A$1:$G$1,0))</f>
        <v>L</v>
      </c>
      <c r="K704" s="4">
        <f>INDEX(products!$A$1:$G$49,MATCH($D704,products!$A$1:$A$49,0),MATCH(orders!K$1,products!$A$1:$G$1,0))</f>
        <v>0.5</v>
      </c>
      <c r="L704" s="5">
        <f>INDEX(products!$A$1:$G$49,MATCH($D704,products!$A$1:$A$49,0),MATCH(orders!L$1,products!$A$1:$G$1,0))</f>
        <v>7.77</v>
      </c>
      <c r="M704" s="5">
        <f t="shared" si="20"/>
        <v>7.77</v>
      </c>
      <c r="N704" t="str">
        <f>IF(I704="Rob","Robusta",IF(I704="Exc","Excelsa",IF(I704="Ara","Arabica",IF(I704="Lib","Liberica",""))))</f>
        <v>Arabica</v>
      </c>
      <c r="O704" t="str">
        <f t="shared" si="21"/>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INDEX(products!$A$1:$G$49,MATCH($D705,products!$A$1:$A$49,0),MATCH(orders!I$1,products!$A$1:$G$1,0))</f>
        <v>Lib</v>
      </c>
      <c r="J705" t="str">
        <f>INDEX(products!$A$1:$G$49,MATCH($D705,products!$A$1:$A$49,0),MATCH(orders!J$1,products!$A$1:$G$1,0))</f>
        <v>D</v>
      </c>
      <c r="K705" s="4">
        <f>INDEX(products!$A$1:$G$49,MATCH($D705,products!$A$1:$A$49,0),MATCH(orders!K$1,products!$A$1:$G$1,0))</f>
        <v>2.5</v>
      </c>
      <c r="L705" s="5">
        <f>INDEX(products!$A$1:$G$49,MATCH($D705,products!$A$1:$A$49,0),MATCH(orders!L$1,products!$A$1:$G$1,0))</f>
        <v>29.784999999999997</v>
      </c>
      <c r="M705" s="5">
        <f t="shared" si="20"/>
        <v>119.13999999999999</v>
      </c>
      <c r="N705" t="str">
        <f>IF(I705="Rob","Robusta",IF(I705="Exc","Excelsa",IF(I705="Ara","Arabica",IF(I705="Lib","Liberica",""))))</f>
        <v>Liberica</v>
      </c>
      <c r="O705" t="str">
        <f t="shared" si="21"/>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INDEX(products!$A$1:$G$49,MATCH($D706,products!$A$1:$A$49,0),MATCH(orders!I$1,products!$A$1:$G$1,0))</f>
        <v>Exc</v>
      </c>
      <c r="J706" t="str">
        <f>INDEX(products!$A$1:$G$49,MATCH($D706,products!$A$1:$A$49,0),MATCH(orders!J$1,products!$A$1:$G$1,0))</f>
        <v>D</v>
      </c>
      <c r="K706" s="4">
        <f>INDEX(products!$A$1:$G$49,MATCH($D706,products!$A$1:$A$49,0),MATCH(orders!K$1,products!$A$1:$G$1,0))</f>
        <v>0.2</v>
      </c>
      <c r="L706" s="5">
        <f>INDEX(products!$A$1:$G$49,MATCH($D706,products!$A$1:$A$49,0),MATCH(orders!L$1,products!$A$1:$G$1,0))</f>
        <v>3.645</v>
      </c>
      <c r="M706" s="5">
        <f t="shared" si="20"/>
        <v>21.87</v>
      </c>
      <c r="N706" t="str">
        <f>IF(I706="Rob","Robusta",IF(I706="Exc","Excelsa",IF(I706="Ara","Arabica",IF(I706="Lib","Liberica",""))))</f>
        <v>Excelsa</v>
      </c>
      <c r="O706" t="str">
        <f t="shared" si="21"/>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INDEX(products!$A$1:$G$49,MATCH($D707,products!$A$1:$A$49,0),MATCH(orders!I$1,products!$A$1:$G$1,0))</f>
        <v>Exc</v>
      </c>
      <c r="J707" t="str">
        <f>INDEX(products!$A$1:$G$49,MATCH($D707,products!$A$1:$A$49,0),MATCH(orders!J$1,products!$A$1:$G$1,0))</f>
        <v>L</v>
      </c>
      <c r="K707" s="4">
        <f>INDEX(products!$A$1:$G$49,MATCH($D707,products!$A$1:$A$49,0),MATCH(orders!K$1,products!$A$1:$G$1,0))</f>
        <v>0.5</v>
      </c>
      <c r="L707" s="5">
        <f>INDEX(products!$A$1:$G$49,MATCH($D707,products!$A$1:$A$49,0),MATCH(orders!L$1,products!$A$1:$G$1,0))</f>
        <v>8.91</v>
      </c>
      <c r="M707" s="5">
        <f t="shared" ref="M707:M770" si="22">L707*E707</f>
        <v>17.82</v>
      </c>
      <c r="N707" t="str">
        <f>IF(I707="Rob","Robusta",IF(I707="Exc","Excelsa",IF(I707="Ara","Arabica",IF(I707="Lib","Liberica",""))))</f>
        <v>Excelsa</v>
      </c>
      <c r="O707" t="str">
        <f t="shared" ref="O707:O770" si="23">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INDEX(products!$A$1:$G$49,MATCH($D708,products!$A$1:$A$49,0),MATCH(orders!I$1,products!$A$1:$G$1,0))</f>
        <v>Exc</v>
      </c>
      <c r="J708" t="str">
        <f>INDEX(products!$A$1:$G$49,MATCH($D708,products!$A$1:$A$49,0),MATCH(orders!J$1,products!$A$1:$G$1,0))</f>
        <v>M</v>
      </c>
      <c r="K708" s="4">
        <f>INDEX(products!$A$1:$G$49,MATCH($D708,products!$A$1:$A$49,0),MATCH(orders!K$1,products!$A$1:$G$1,0))</f>
        <v>0.2</v>
      </c>
      <c r="L708" s="5">
        <f>INDEX(products!$A$1:$G$49,MATCH($D708,products!$A$1:$A$49,0),MATCH(orders!L$1,products!$A$1:$G$1,0))</f>
        <v>4.125</v>
      </c>
      <c r="M708" s="5">
        <f t="shared" si="22"/>
        <v>12.375</v>
      </c>
      <c r="N708" t="str">
        <f>IF(I708="Rob","Robusta",IF(I708="Exc","Excelsa",IF(I708="Ara","Arabica",IF(I708="Lib","Liberica",""))))</f>
        <v>Excelsa</v>
      </c>
      <c r="O708" t="str">
        <f t="shared" si="23"/>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INDEX(products!$A$1:$G$49,MATCH($D709,products!$A$1:$A$49,0),MATCH(orders!I$1,products!$A$1:$G$1,0))</f>
        <v>Lib</v>
      </c>
      <c r="J709" t="str">
        <f>INDEX(products!$A$1:$G$49,MATCH($D709,products!$A$1:$A$49,0),MATCH(orders!J$1,products!$A$1:$G$1,0))</f>
        <v>D</v>
      </c>
      <c r="K709" s="4">
        <f>INDEX(products!$A$1:$G$49,MATCH($D709,products!$A$1:$A$49,0),MATCH(orders!K$1,products!$A$1:$G$1,0))</f>
        <v>1</v>
      </c>
      <c r="L709" s="5">
        <f>INDEX(products!$A$1:$G$49,MATCH($D709,products!$A$1:$A$49,0),MATCH(orders!L$1,products!$A$1:$G$1,0))</f>
        <v>12.95</v>
      </c>
      <c r="M709" s="5">
        <f t="shared" si="22"/>
        <v>25.9</v>
      </c>
      <c r="N709" t="str">
        <f>IF(I709="Rob","Robusta",IF(I709="Exc","Excelsa",IF(I709="Ara","Arabica",IF(I709="Lib","Liberica",""))))</f>
        <v>Liberica</v>
      </c>
      <c r="O709" t="str">
        <f t="shared" si="23"/>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INDEX(products!$A$1:$G$49,MATCH($D710,products!$A$1:$A$49,0),MATCH(orders!I$1,products!$A$1:$G$1,0))</f>
        <v>Ara</v>
      </c>
      <c r="J710" t="str">
        <f>INDEX(products!$A$1:$G$49,MATCH($D710,products!$A$1:$A$49,0),MATCH(orders!J$1,products!$A$1:$G$1,0))</f>
        <v>M</v>
      </c>
      <c r="K710" s="4">
        <f>INDEX(products!$A$1:$G$49,MATCH($D710,products!$A$1:$A$49,0),MATCH(orders!K$1,products!$A$1:$G$1,0))</f>
        <v>0.5</v>
      </c>
      <c r="L710" s="5">
        <f>INDEX(products!$A$1:$G$49,MATCH($D710,products!$A$1:$A$49,0),MATCH(orders!L$1,products!$A$1:$G$1,0))</f>
        <v>6.75</v>
      </c>
      <c r="M710" s="5">
        <f t="shared" si="22"/>
        <v>13.5</v>
      </c>
      <c r="N710" t="str">
        <f>IF(I710="Rob","Robusta",IF(I710="Exc","Excelsa",IF(I710="Ara","Arabica",IF(I710="Lib","Liberica",""))))</f>
        <v>Arabica</v>
      </c>
      <c r="O710" t="str">
        <f t="shared" si="23"/>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INDEX(products!$A$1:$G$49,MATCH($D711,products!$A$1:$A$49,0),MATCH(orders!I$1,products!$A$1:$G$1,0))</f>
        <v>Exc</v>
      </c>
      <c r="J711" t="str">
        <f>INDEX(products!$A$1:$G$49,MATCH($D711,products!$A$1:$A$49,0),MATCH(orders!J$1,products!$A$1:$G$1,0))</f>
        <v>L</v>
      </c>
      <c r="K711" s="4">
        <f>INDEX(products!$A$1:$G$49,MATCH($D711,products!$A$1:$A$49,0),MATCH(orders!K$1,products!$A$1:$G$1,0))</f>
        <v>0.5</v>
      </c>
      <c r="L711" s="5">
        <f>INDEX(products!$A$1:$G$49,MATCH($D711,products!$A$1:$A$49,0),MATCH(orders!L$1,products!$A$1:$G$1,0))</f>
        <v>8.91</v>
      </c>
      <c r="M711" s="5">
        <f t="shared" si="22"/>
        <v>17.82</v>
      </c>
      <c r="N711" t="str">
        <f>IF(I711="Rob","Robusta",IF(I711="Exc","Excelsa",IF(I711="Ara","Arabica",IF(I711="Lib","Liberica",""))))</f>
        <v>Excelsa</v>
      </c>
      <c r="O711" t="str">
        <f t="shared" si="23"/>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INDEX(products!$A$1:$G$49,MATCH($D712,products!$A$1:$A$49,0),MATCH(orders!I$1,products!$A$1:$G$1,0))</f>
        <v>Exc</v>
      </c>
      <c r="J712" t="str">
        <f>INDEX(products!$A$1:$G$49,MATCH($D712,products!$A$1:$A$49,0),MATCH(orders!J$1,products!$A$1:$G$1,0))</f>
        <v>M</v>
      </c>
      <c r="K712" s="4">
        <f>INDEX(products!$A$1:$G$49,MATCH($D712,products!$A$1:$A$49,0),MATCH(orders!K$1,products!$A$1:$G$1,0))</f>
        <v>0.5</v>
      </c>
      <c r="L712" s="5">
        <f>INDEX(products!$A$1:$G$49,MATCH($D712,products!$A$1:$A$49,0),MATCH(orders!L$1,products!$A$1:$G$1,0))</f>
        <v>8.25</v>
      </c>
      <c r="M712" s="5">
        <f t="shared" si="22"/>
        <v>24.75</v>
      </c>
      <c r="N712" t="str">
        <f>IF(I712="Rob","Robusta",IF(I712="Exc","Excelsa",IF(I712="Ara","Arabica",IF(I712="Lib","Liberica",""))))</f>
        <v>Excelsa</v>
      </c>
      <c r="O712" t="str">
        <f t="shared" si="23"/>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INDEX(products!$A$1:$G$49,MATCH($D713,products!$A$1:$A$49,0),MATCH(orders!I$1,products!$A$1:$G$1,0))</f>
        <v>Rob</v>
      </c>
      <c r="J713" t="str">
        <f>INDEX(products!$A$1:$G$49,MATCH($D713,products!$A$1:$A$49,0),MATCH(orders!J$1,products!$A$1:$G$1,0))</f>
        <v>M</v>
      </c>
      <c r="K713" s="4">
        <f>INDEX(products!$A$1:$G$49,MATCH($D713,products!$A$1:$A$49,0),MATCH(orders!K$1,products!$A$1:$G$1,0))</f>
        <v>0.2</v>
      </c>
      <c r="L713" s="5">
        <f>INDEX(products!$A$1:$G$49,MATCH($D713,products!$A$1:$A$49,0),MATCH(orders!L$1,products!$A$1:$G$1,0))</f>
        <v>2.9849999999999999</v>
      </c>
      <c r="M713" s="5">
        <f t="shared" si="22"/>
        <v>17.91</v>
      </c>
      <c r="N713" t="str">
        <f>IF(I713="Rob","Robusta",IF(I713="Exc","Excelsa",IF(I713="Ara","Arabica",IF(I713="Lib","Liberica",""))))</f>
        <v>Robusta</v>
      </c>
      <c r="O713" t="str">
        <f t="shared" si="23"/>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INDEX(products!$A$1:$G$49,MATCH($D714,products!$A$1:$A$49,0),MATCH(orders!I$1,products!$A$1:$G$1,0))</f>
        <v>Exc</v>
      </c>
      <c r="J714" t="str">
        <f>INDEX(products!$A$1:$G$49,MATCH($D714,products!$A$1:$A$49,0),MATCH(orders!J$1,products!$A$1:$G$1,0))</f>
        <v>M</v>
      </c>
      <c r="K714" s="4">
        <f>INDEX(products!$A$1:$G$49,MATCH($D714,products!$A$1:$A$49,0),MATCH(orders!K$1,products!$A$1:$G$1,0))</f>
        <v>0.5</v>
      </c>
      <c r="L714" s="5">
        <f>INDEX(products!$A$1:$G$49,MATCH($D714,products!$A$1:$A$49,0),MATCH(orders!L$1,products!$A$1:$G$1,0))</f>
        <v>8.25</v>
      </c>
      <c r="M714" s="5">
        <f t="shared" si="22"/>
        <v>16.5</v>
      </c>
      <c r="N714" t="str">
        <f>IF(I714="Rob","Robusta",IF(I714="Exc","Excelsa",IF(I714="Ara","Arabica",IF(I714="Lib","Liberica",""))))</f>
        <v>Excelsa</v>
      </c>
      <c r="O714" t="str">
        <f t="shared" si="23"/>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INDEX(products!$A$1:$G$49,MATCH($D715,products!$A$1:$A$49,0),MATCH(orders!I$1,products!$A$1:$G$1,0))</f>
        <v>Rob</v>
      </c>
      <c r="J715" t="str">
        <f>INDEX(products!$A$1:$G$49,MATCH($D715,products!$A$1:$A$49,0),MATCH(orders!J$1,products!$A$1:$G$1,0))</f>
        <v>M</v>
      </c>
      <c r="K715" s="4">
        <f>INDEX(products!$A$1:$G$49,MATCH($D715,products!$A$1:$A$49,0),MATCH(orders!K$1,products!$A$1:$G$1,0))</f>
        <v>0.2</v>
      </c>
      <c r="L715" s="5">
        <f>INDEX(products!$A$1:$G$49,MATCH($D715,products!$A$1:$A$49,0),MATCH(orders!L$1,products!$A$1:$G$1,0))</f>
        <v>2.9849999999999999</v>
      </c>
      <c r="M715" s="5">
        <f t="shared" si="22"/>
        <v>2.9849999999999999</v>
      </c>
      <c r="N715" t="str">
        <f>IF(I715="Rob","Robusta",IF(I715="Exc","Excelsa",IF(I715="Ara","Arabica",IF(I715="Lib","Liberica",""))))</f>
        <v>Robusta</v>
      </c>
      <c r="O715" t="str">
        <f t="shared" si="23"/>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INDEX(products!$A$1:$G$49,MATCH($D716,products!$A$1:$A$49,0),MATCH(orders!I$1,products!$A$1:$G$1,0))</f>
        <v>Exc</v>
      </c>
      <c r="J716" t="str">
        <f>INDEX(products!$A$1:$G$49,MATCH($D716,products!$A$1:$A$49,0),MATCH(orders!J$1,products!$A$1:$G$1,0))</f>
        <v>D</v>
      </c>
      <c r="K716" s="4">
        <f>INDEX(products!$A$1:$G$49,MATCH($D716,products!$A$1:$A$49,0),MATCH(orders!K$1,products!$A$1:$G$1,0))</f>
        <v>0.2</v>
      </c>
      <c r="L716" s="5">
        <f>INDEX(products!$A$1:$G$49,MATCH($D716,products!$A$1:$A$49,0),MATCH(orders!L$1,products!$A$1:$G$1,0))</f>
        <v>3.645</v>
      </c>
      <c r="M716" s="5">
        <f t="shared" si="22"/>
        <v>14.58</v>
      </c>
      <c r="N716" t="str">
        <f>IF(I716="Rob","Robusta",IF(I716="Exc","Excelsa",IF(I716="Ara","Arabica",IF(I716="Lib","Liberica",""))))</f>
        <v>Excelsa</v>
      </c>
      <c r="O716" t="str">
        <f t="shared" si="23"/>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INDEX(products!$A$1:$G$49,MATCH($D717,products!$A$1:$A$49,0),MATCH(orders!I$1,products!$A$1:$G$1,0))</f>
        <v>Exc</v>
      </c>
      <c r="J717" t="str">
        <f>INDEX(products!$A$1:$G$49,MATCH($D717,products!$A$1:$A$49,0),MATCH(orders!J$1,products!$A$1:$G$1,0))</f>
        <v>L</v>
      </c>
      <c r="K717" s="4">
        <f>INDEX(products!$A$1:$G$49,MATCH($D717,products!$A$1:$A$49,0),MATCH(orders!K$1,products!$A$1:$G$1,0))</f>
        <v>1</v>
      </c>
      <c r="L717" s="5">
        <f>INDEX(products!$A$1:$G$49,MATCH($D717,products!$A$1:$A$49,0),MATCH(orders!L$1,products!$A$1:$G$1,0))</f>
        <v>14.85</v>
      </c>
      <c r="M717" s="5">
        <f t="shared" si="22"/>
        <v>89.1</v>
      </c>
      <c r="N717" t="str">
        <f>IF(I717="Rob","Robusta",IF(I717="Exc","Excelsa",IF(I717="Ara","Arabica",IF(I717="Lib","Liberica",""))))</f>
        <v>Excelsa</v>
      </c>
      <c r="O717" t="str">
        <f t="shared" si="23"/>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INDEX(products!$A$1:$G$49,MATCH($D718,products!$A$1:$A$49,0),MATCH(orders!I$1,products!$A$1:$G$1,0))</f>
        <v>Rob</v>
      </c>
      <c r="J718" t="str">
        <f>INDEX(products!$A$1:$G$49,MATCH($D718,products!$A$1:$A$49,0),MATCH(orders!J$1,products!$A$1:$G$1,0))</f>
        <v>L</v>
      </c>
      <c r="K718" s="4">
        <f>INDEX(products!$A$1:$G$49,MATCH($D718,products!$A$1:$A$49,0),MATCH(orders!K$1,products!$A$1:$G$1,0))</f>
        <v>1</v>
      </c>
      <c r="L718" s="5">
        <f>INDEX(products!$A$1:$G$49,MATCH($D718,products!$A$1:$A$49,0),MATCH(orders!L$1,products!$A$1:$G$1,0))</f>
        <v>11.95</v>
      </c>
      <c r="M718" s="5">
        <f t="shared" si="22"/>
        <v>35.849999999999994</v>
      </c>
      <c r="N718" t="str">
        <f>IF(I718="Rob","Robusta",IF(I718="Exc","Excelsa",IF(I718="Ara","Arabica",IF(I718="Lib","Liberica",""))))</f>
        <v>Robusta</v>
      </c>
      <c r="O718" t="str">
        <f t="shared" si="23"/>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INDEX(products!$A$1:$G$49,MATCH($D719,products!$A$1:$A$49,0),MATCH(orders!I$1,products!$A$1:$G$1,0))</f>
        <v>Ara</v>
      </c>
      <c r="J719" t="str">
        <f>INDEX(products!$A$1:$G$49,MATCH($D719,products!$A$1:$A$49,0),MATCH(orders!J$1,products!$A$1:$G$1,0))</f>
        <v>D</v>
      </c>
      <c r="K719" s="4">
        <f>INDEX(products!$A$1:$G$49,MATCH($D719,products!$A$1:$A$49,0),MATCH(orders!K$1,products!$A$1:$G$1,0))</f>
        <v>2.5</v>
      </c>
      <c r="L719" s="5">
        <f>INDEX(products!$A$1:$G$49,MATCH($D719,products!$A$1:$A$49,0),MATCH(orders!L$1,products!$A$1:$G$1,0))</f>
        <v>22.884999999999998</v>
      </c>
      <c r="M719" s="5">
        <f t="shared" si="22"/>
        <v>68.655000000000001</v>
      </c>
      <c r="N719" t="str">
        <f>IF(I719="Rob","Robusta",IF(I719="Exc","Excelsa",IF(I719="Ara","Arabica",IF(I719="Lib","Liberica",""))))</f>
        <v>Arabica</v>
      </c>
      <c r="O719" t="str">
        <f t="shared" si="23"/>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INDEX(products!$A$1:$G$49,MATCH($D720,products!$A$1:$A$49,0),MATCH(orders!I$1,products!$A$1:$G$1,0))</f>
        <v>Lib</v>
      </c>
      <c r="J720" t="str">
        <f>INDEX(products!$A$1:$G$49,MATCH($D720,products!$A$1:$A$49,0),MATCH(orders!J$1,products!$A$1:$G$1,0))</f>
        <v>D</v>
      </c>
      <c r="K720" s="4">
        <f>INDEX(products!$A$1:$G$49,MATCH($D720,products!$A$1:$A$49,0),MATCH(orders!K$1,products!$A$1:$G$1,0))</f>
        <v>1</v>
      </c>
      <c r="L720" s="5">
        <f>INDEX(products!$A$1:$G$49,MATCH($D720,products!$A$1:$A$49,0),MATCH(orders!L$1,products!$A$1:$G$1,0))</f>
        <v>12.95</v>
      </c>
      <c r="M720" s="5">
        <f t="shared" si="22"/>
        <v>38.849999999999994</v>
      </c>
      <c r="N720" t="str">
        <f>IF(I720="Rob","Robusta",IF(I720="Exc","Excelsa",IF(I720="Ara","Arabica",IF(I720="Lib","Liberica",""))))</f>
        <v>Liberica</v>
      </c>
      <c r="O720" t="str">
        <f t="shared" si="23"/>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INDEX(products!$A$1:$G$49,MATCH($D721,products!$A$1:$A$49,0),MATCH(orders!I$1,products!$A$1:$G$1,0))</f>
        <v>Lib</v>
      </c>
      <c r="J721" t="str">
        <f>INDEX(products!$A$1:$G$49,MATCH($D721,products!$A$1:$A$49,0),MATCH(orders!J$1,products!$A$1:$G$1,0))</f>
        <v>L</v>
      </c>
      <c r="K721" s="4">
        <f>INDEX(products!$A$1:$G$49,MATCH($D721,products!$A$1:$A$49,0),MATCH(orders!K$1,products!$A$1:$G$1,0))</f>
        <v>1</v>
      </c>
      <c r="L721" s="5">
        <f>INDEX(products!$A$1:$G$49,MATCH($D721,products!$A$1:$A$49,0),MATCH(orders!L$1,products!$A$1:$G$1,0))</f>
        <v>15.85</v>
      </c>
      <c r="M721" s="5">
        <f t="shared" si="22"/>
        <v>79.25</v>
      </c>
      <c r="N721" t="str">
        <f>IF(I721="Rob","Robusta",IF(I721="Exc","Excelsa",IF(I721="Ara","Arabica",IF(I721="Lib","Liberica",""))))</f>
        <v>Liberica</v>
      </c>
      <c r="O721" t="str">
        <f t="shared" si="23"/>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INDEX(products!$A$1:$G$49,MATCH($D722,products!$A$1:$A$49,0),MATCH(orders!I$1,products!$A$1:$G$1,0))</f>
        <v>Exc</v>
      </c>
      <c r="J722" t="str">
        <f>INDEX(products!$A$1:$G$49,MATCH($D722,products!$A$1:$A$49,0),MATCH(orders!J$1,products!$A$1:$G$1,0))</f>
        <v>D</v>
      </c>
      <c r="K722" s="4">
        <f>INDEX(products!$A$1:$G$49,MATCH($D722,products!$A$1:$A$49,0),MATCH(orders!K$1,products!$A$1:$G$1,0))</f>
        <v>0.5</v>
      </c>
      <c r="L722" s="5">
        <f>INDEX(products!$A$1:$G$49,MATCH($D722,products!$A$1:$A$49,0),MATCH(orders!L$1,products!$A$1:$G$1,0))</f>
        <v>7.29</v>
      </c>
      <c r="M722" s="5">
        <f t="shared" si="22"/>
        <v>36.450000000000003</v>
      </c>
      <c r="N722" t="str">
        <f>IF(I722="Rob","Robusta",IF(I722="Exc","Excelsa",IF(I722="Ara","Arabica",IF(I722="Lib","Liberica",""))))</f>
        <v>Excelsa</v>
      </c>
      <c r="O722" t="str">
        <f t="shared" si="23"/>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INDEX(products!$A$1:$G$49,MATCH($D723,products!$A$1:$A$49,0),MATCH(orders!I$1,products!$A$1:$G$1,0))</f>
        <v>Rob</v>
      </c>
      <c r="J723" t="str">
        <f>INDEX(products!$A$1:$G$49,MATCH($D723,products!$A$1:$A$49,0),MATCH(orders!J$1,products!$A$1:$G$1,0))</f>
        <v>M</v>
      </c>
      <c r="K723" s="4">
        <f>INDEX(products!$A$1:$G$49,MATCH($D723,products!$A$1:$A$49,0),MATCH(orders!K$1,products!$A$1:$G$1,0))</f>
        <v>0.2</v>
      </c>
      <c r="L723" s="5">
        <f>INDEX(products!$A$1:$G$49,MATCH($D723,products!$A$1:$A$49,0),MATCH(orders!L$1,products!$A$1:$G$1,0))</f>
        <v>2.9849999999999999</v>
      </c>
      <c r="M723" s="5">
        <f t="shared" si="22"/>
        <v>8.9550000000000001</v>
      </c>
      <c r="N723" t="str">
        <f>IF(I723="Rob","Robusta",IF(I723="Exc","Excelsa",IF(I723="Ara","Arabica",IF(I723="Lib","Liberica",""))))</f>
        <v>Robusta</v>
      </c>
      <c r="O723" t="str">
        <f t="shared" si="23"/>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INDEX(products!$A$1:$G$49,MATCH($D724,products!$A$1:$A$49,0),MATCH(orders!I$1,products!$A$1:$G$1,0))</f>
        <v>Exc</v>
      </c>
      <c r="J724" t="str">
        <f>INDEX(products!$A$1:$G$49,MATCH($D724,products!$A$1:$A$49,0),MATCH(orders!J$1,products!$A$1:$G$1,0))</f>
        <v>D</v>
      </c>
      <c r="K724" s="4">
        <f>INDEX(products!$A$1:$G$49,MATCH($D724,products!$A$1:$A$49,0),MATCH(orders!K$1,products!$A$1:$G$1,0))</f>
        <v>1</v>
      </c>
      <c r="L724" s="5">
        <f>INDEX(products!$A$1:$G$49,MATCH($D724,products!$A$1:$A$49,0),MATCH(orders!L$1,products!$A$1:$G$1,0))</f>
        <v>12.15</v>
      </c>
      <c r="M724" s="5">
        <f t="shared" si="22"/>
        <v>24.3</v>
      </c>
      <c r="N724" t="str">
        <f>IF(I724="Rob","Robusta",IF(I724="Exc","Excelsa",IF(I724="Ara","Arabica",IF(I724="Lib","Liberica",""))))</f>
        <v>Excelsa</v>
      </c>
      <c r="O724" t="str">
        <f t="shared" si="23"/>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INDEX(products!$A$1:$G$49,MATCH($D725,products!$A$1:$A$49,0),MATCH(orders!I$1,products!$A$1:$G$1,0))</f>
        <v>Exc</v>
      </c>
      <c r="J725" t="str">
        <f>INDEX(products!$A$1:$G$49,MATCH($D725,products!$A$1:$A$49,0),MATCH(orders!J$1,products!$A$1:$G$1,0))</f>
        <v>M</v>
      </c>
      <c r="K725" s="4">
        <f>INDEX(products!$A$1:$G$49,MATCH($D725,products!$A$1:$A$49,0),MATCH(orders!K$1,products!$A$1:$G$1,0))</f>
        <v>2.5</v>
      </c>
      <c r="L725" s="5">
        <f>INDEX(products!$A$1:$G$49,MATCH($D725,products!$A$1:$A$49,0),MATCH(orders!L$1,products!$A$1:$G$1,0))</f>
        <v>31.624999999999996</v>
      </c>
      <c r="M725" s="5">
        <f t="shared" si="22"/>
        <v>63.249999999999993</v>
      </c>
      <c r="N725" t="str">
        <f>IF(I725="Rob","Robusta",IF(I725="Exc","Excelsa",IF(I725="Ara","Arabica",IF(I725="Lib","Liberica",""))))</f>
        <v>Excelsa</v>
      </c>
      <c r="O725" t="str">
        <f t="shared" si="23"/>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INDEX(products!$A$1:$G$49,MATCH($D726,products!$A$1:$A$49,0),MATCH(orders!I$1,products!$A$1:$G$1,0))</f>
        <v>Ara</v>
      </c>
      <c r="J726" t="str">
        <f>INDEX(products!$A$1:$G$49,MATCH($D726,products!$A$1:$A$49,0),MATCH(orders!J$1,products!$A$1:$G$1,0))</f>
        <v>M</v>
      </c>
      <c r="K726" s="4">
        <f>INDEX(products!$A$1:$G$49,MATCH($D726,products!$A$1:$A$49,0),MATCH(orders!K$1,products!$A$1:$G$1,0))</f>
        <v>0.2</v>
      </c>
      <c r="L726" s="5">
        <f>INDEX(products!$A$1:$G$49,MATCH($D726,products!$A$1:$A$49,0),MATCH(orders!L$1,products!$A$1:$G$1,0))</f>
        <v>3.375</v>
      </c>
      <c r="M726" s="5">
        <f t="shared" si="22"/>
        <v>6.75</v>
      </c>
      <c r="N726" t="str">
        <f>IF(I726="Rob","Robusta",IF(I726="Exc","Excelsa",IF(I726="Ara","Arabica",IF(I726="Lib","Liberica",""))))</f>
        <v>Arabica</v>
      </c>
      <c r="O726" t="str">
        <f t="shared" si="23"/>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INDEX(products!$A$1:$G$49,MATCH($D727,products!$A$1:$A$49,0),MATCH(orders!I$1,products!$A$1:$G$1,0))</f>
        <v>Ara</v>
      </c>
      <c r="J727" t="str">
        <f>INDEX(products!$A$1:$G$49,MATCH($D727,products!$A$1:$A$49,0),MATCH(orders!J$1,products!$A$1:$G$1,0))</f>
        <v>L</v>
      </c>
      <c r="K727" s="4">
        <f>INDEX(products!$A$1:$G$49,MATCH($D727,products!$A$1:$A$49,0),MATCH(orders!K$1,products!$A$1:$G$1,0))</f>
        <v>0.2</v>
      </c>
      <c r="L727" s="5">
        <f>INDEX(products!$A$1:$G$49,MATCH($D727,products!$A$1:$A$49,0),MATCH(orders!L$1,products!$A$1:$G$1,0))</f>
        <v>3.8849999999999998</v>
      </c>
      <c r="M727" s="5">
        <f t="shared" si="22"/>
        <v>23.31</v>
      </c>
      <c r="N727" t="str">
        <f>IF(I727="Rob","Robusta",IF(I727="Exc","Excelsa",IF(I727="Ara","Arabica",IF(I727="Lib","Liberica",""))))</f>
        <v>Arabica</v>
      </c>
      <c r="O727" t="str">
        <f t="shared" si="23"/>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INDEX(products!$A$1:$G$49,MATCH($D728,products!$A$1:$A$49,0),MATCH(orders!I$1,products!$A$1:$G$1,0))</f>
        <v>Lib</v>
      </c>
      <c r="J728" t="str">
        <f>INDEX(products!$A$1:$G$49,MATCH($D728,products!$A$1:$A$49,0),MATCH(orders!J$1,products!$A$1:$G$1,0))</f>
        <v>L</v>
      </c>
      <c r="K728" s="4">
        <f>INDEX(products!$A$1:$G$49,MATCH($D728,products!$A$1:$A$49,0),MATCH(orders!K$1,products!$A$1:$G$1,0))</f>
        <v>2.5</v>
      </c>
      <c r="L728" s="5">
        <f>INDEX(products!$A$1:$G$49,MATCH($D728,products!$A$1:$A$49,0),MATCH(orders!L$1,products!$A$1:$G$1,0))</f>
        <v>36.454999999999998</v>
      </c>
      <c r="M728" s="5">
        <f t="shared" si="22"/>
        <v>145.82</v>
      </c>
      <c r="N728" t="str">
        <f>IF(I728="Rob","Robusta",IF(I728="Exc","Excelsa",IF(I728="Ara","Arabica",IF(I728="Lib","Liberica",""))))</f>
        <v>Liberica</v>
      </c>
      <c r="O728" t="str">
        <f t="shared" si="23"/>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INDEX(products!$A$1:$G$49,MATCH($D729,products!$A$1:$A$49,0),MATCH(orders!I$1,products!$A$1:$G$1,0))</f>
        <v>Rob</v>
      </c>
      <c r="J729" t="str">
        <f>INDEX(products!$A$1:$G$49,MATCH($D729,products!$A$1:$A$49,0),MATCH(orders!J$1,products!$A$1:$G$1,0))</f>
        <v>M</v>
      </c>
      <c r="K729" s="4">
        <f>INDEX(products!$A$1:$G$49,MATCH($D729,products!$A$1:$A$49,0),MATCH(orders!K$1,products!$A$1:$G$1,0))</f>
        <v>0.5</v>
      </c>
      <c r="L729" s="5">
        <f>INDEX(products!$A$1:$G$49,MATCH($D729,products!$A$1:$A$49,0),MATCH(orders!L$1,products!$A$1:$G$1,0))</f>
        <v>5.97</v>
      </c>
      <c r="M729" s="5">
        <f t="shared" si="22"/>
        <v>29.849999999999998</v>
      </c>
      <c r="N729" t="str">
        <f>IF(I729="Rob","Robusta",IF(I729="Exc","Excelsa",IF(I729="Ara","Arabica",IF(I729="Lib","Liberica",""))))</f>
        <v>Robusta</v>
      </c>
      <c r="O729" t="str">
        <f t="shared" si="23"/>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INDEX(products!$A$1:$G$49,MATCH($D730,products!$A$1:$A$49,0),MATCH(orders!I$1,products!$A$1:$G$1,0))</f>
        <v>Exc</v>
      </c>
      <c r="J730" t="str">
        <f>INDEX(products!$A$1:$G$49,MATCH($D730,products!$A$1:$A$49,0),MATCH(orders!J$1,products!$A$1:$G$1,0))</f>
        <v>D</v>
      </c>
      <c r="K730" s="4">
        <f>INDEX(products!$A$1:$G$49,MATCH($D730,products!$A$1:$A$49,0),MATCH(orders!K$1,products!$A$1:$G$1,0))</f>
        <v>0.5</v>
      </c>
      <c r="L730" s="5">
        <f>INDEX(products!$A$1:$G$49,MATCH($D730,products!$A$1:$A$49,0),MATCH(orders!L$1,products!$A$1:$G$1,0))</f>
        <v>7.29</v>
      </c>
      <c r="M730" s="5">
        <f t="shared" si="22"/>
        <v>21.87</v>
      </c>
      <c r="N730" t="str">
        <f>IF(I730="Rob","Robusta",IF(I730="Exc","Excelsa",IF(I730="Ara","Arabica",IF(I730="Lib","Liberica",""))))</f>
        <v>Excelsa</v>
      </c>
      <c r="O730" t="str">
        <f t="shared" si="23"/>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INDEX(products!$A$1:$G$49,MATCH($D731,products!$A$1:$A$49,0),MATCH(orders!I$1,products!$A$1:$G$1,0))</f>
        <v>Lib</v>
      </c>
      <c r="J731" t="str">
        <f>INDEX(products!$A$1:$G$49,MATCH($D731,products!$A$1:$A$49,0),MATCH(orders!J$1,products!$A$1:$G$1,0))</f>
        <v>M</v>
      </c>
      <c r="K731" s="4">
        <f>INDEX(products!$A$1:$G$49,MATCH($D731,products!$A$1:$A$49,0),MATCH(orders!K$1,products!$A$1:$G$1,0))</f>
        <v>0.2</v>
      </c>
      <c r="L731" s="5">
        <f>INDEX(products!$A$1:$G$49,MATCH($D731,products!$A$1:$A$49,0),MATCH(orders!L$1,products!$A$1:$G$1,0))</f>
        <v>4.3650000000000002</v>
      </c>
      <c r="M731" s="5">
        <f t="shared" si="22"/>
        <v>4.3650000000000002</v>
      </c>
      <c r="N731" t="str">
        <f>IF(I731="Rob","Robusta",IF(I731="Exc","Excelsa",IF(I731="Ara","Arabica",IF(I731="Lib","Liberica",""))))</f>
        <v>Liberica</v>
      </c>
      <c r="O731" t="str">
        <f t="shared" si="23"/>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INDEX(products!$A$1:$G$49,MATCH($D732,products!$A$1:$A$49,0),MATCH(orders!I$1,products!$A$1:$G$1,0))</f>
        <v>Lib</v>
      </c>
      <c r="J732" t="str">
        <f>INDEX(products!$A$1:$G$49,MATCH($D732,products!$A$1:$A$49,0),MATCH(orders!J$1,products!$A$1:$G$1,0))</f>
        <v>L</v>
      </c>
      <c r="K732" s="4">
        <f>INDEX(products!$A$1:$G$49,MATCH($D732,products!$A$1:$A$49,0),MATCH(orders!K$1,products!$A$1:$G$1,0))</f>
        <v>2.5</v>
      </c>
      <c r="L732" s="5">
        <f>INDEX(products!$A$1:$G$49,MATCH($D732,products!$A$1:$A$49,0),MATCH(orders!L$1,products!$A$1:$G$1,0))</f>
        <v>36.454999999999998</v>
      </c>
      <c r="M732" s="5">
        <f t="shared" si="22"/>
        <v>36.454999999999998</v>
      </c>
      <c r="N732" t="str">
        <f>IF(I732="Rob","Robusta",IF(I732="Exc","Excelsa",IF(I732="Ara","Arabica",IF(I732="Lib","Liberica",""))))</f>
        <v>Liberica</v>
      </c>
      <c r="O732" t="str">
        <f t="shared" si="23"/>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INDEX(products!$A$1:$G$49,MATCH($D733,products!$A$1:$A$49,0),MATCH(orders!I$1,products!$A$1:$G$1,0))</f>
        <v>Lib</v>
      </c>
      <c r="J733" t="str">
        <f>INDEX(products!$A$1:$G$49,MATCH($D733,products!$A$1:$A$49,0),MATCH(orders!J$1,products!$A$1:$G$1,0))</f>
        <v>D</v>
      </c>
      <c r="K733" s="4">
        <f>INDEX(products!$A$1:$G$49,MATCH($D733,products!$A$1:$A$49,0),MATCH(orders!K$1,products!$A$1:$G$1,0))</f>
        <v>0.2</v>
      </c>
      <c r="L733" s="5">
        <f>INDEX(products!$A$1:$G$49,MATCH($D733,products!$A$1:$A$49,0),MATCH(orders!L$1,products!$A$1:$G$1,0))</f>
        <v>3.8849999999999998</v>
      </c>
      <c r="M733" s="5">
        <f t="shared" si="22"/>
        <v>15.54</v>
      </c>
      <c r="N733" t="str">
        <f>IF(I733="Rob","Robusta",IF(I733="Exc","Excelsa",IF(I733="Ara","Arabica",IF(I733="Lib","Liberica",""))))</f>
        <v>Liberica</v>
      </c>
      <c r="O733" t="str">
        <f t="shared" si="23"/>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INDEX(products!$A$1:$G$49,MATCH($D734,products!$A$1:$A$49,0),MATCH(orders!I$1,products!$A$1:$G$1,0))</f>
        <v>Exc</v>
      </c>
      <c r="J734" t="str">
        <f>INDEX(products!$A$1:$G$49,MATCH($D734,products!$A$1:$A$49,0),MATCH(orders!J$1,products!$A$1:$G$1,0))</f>
        <v>L</v>
      </c>
      <c r="K734" s="4">
        <f>INDEX(products!$A$1:$G$49,MATCH($D734,products!$A$1:$A$49,0),MATCH(orders!K$1,products!$A$1:$G$1,0))</f>
        <v>0.2</v>
      </c>
      <c r="L734" s="5">
        <f>INDEX(products!$A$1:$G$49,MATCH($D734,products!$A$1:$A$49,0),MATCH(orders!L$1,products!$A$1:$G$1,0))</f>
        <v>4.4550000000000001</v>
      </c>
      <c r="M734" s="5">
        <f t="shared" si="22"/>
        <v>8.91</v>
      </c>
      <c r="N734" t="str">
        <f>IF(I734="Rob","Robusta",IF(I734="Exc","Excelsa",IF(I734="Ara","Arabica",IF(I734="Lib","Liberica",""))))</f>
        <v>Excelsa</v>
      </c>
      <c r="O734" t="str">
        <f t="shared" si="23"/>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INDEX(products!$A$1:$G$49,MATCH($D735,products!$A$1:$A$49,0),MATCH(orders!I$1,products!$A$1:$G$1,0))</f>
        <v>Lib</v>
      </c>
      <c r="J735" t="str">
        <f>INDEX(products!$A$1:$G$49,MATCH($D735,products!$A$1:$A$49,0),MATCH(orders!J$1,products!$A$1:$G$1,0))</f>
        <v>M</v>
      </c>
      <c r="K735" s="4">
        <f>INDEX(products!$A$1:$G$49,MATCH($D735,products!$A$1:$A$49,0),MATCH(orders!K$1,products!$A$1:$G$1,0))</f>
        <v>2.5</v>
      </c>
      <c r="L735" s="5">
        <f>INDEX(products!$A$1:$G$49,MATCH($D735,products!$A$1:$A$49,0),MATCH(orders!L$1,products!$A$1:$G$1,0))</f>
        <v>33.464999999999996</v>
      </c>
      <c r="M735" s="5">
        <f t="shared" si="22"/>
        <v>100.39499999999998</v>
      </c>
      <c r="N735" t="str">
        <f>IF(I735="Rob","Robusta",IF(I735="Exc","Excelsa",IF(I735="Ara","Arabica",IF(I735="Lib","Liberica",""))))</f>
        <v>Liberica</v>
      </c>
      <c r="O735" t="str">
        <f t="shared" si="23"/>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INDEX(products!$A$1:$G$49,MATCH($D736,products!$A$1:$A$49,0),MATCH(orders!I$1,products!$A$1:$G$1,0))</f>
        <v>Rob</v>
      </c>
      <c r="J736" t="str">
        <f>INDEX(products!$A$1:$G$49,MATCH($D736,products!$A$1:$A$49,0),MATCH(orders!J$1,products!$A$1:$G$1,0))</f>
        <v>D</v>
      </c>
      <c r="K736" s="4">
        <f>INDEX(products!$A$1:$G$49,MATCH($D736,products!$A$1:$A$49,0),MATCH(orders!K$1,products!$A$1:$G$1,0))</f>
        <v>0.2</v>
      </c>
      <c r="L736" s="5">
        <f>INDEX(products!$A$1:$G$49,MATCH($D736,products!$A$1:$A$49,0),MATCH(orders!L$1,products!$A$1:$G$1,0))</f>
        <v>2.6849999999999996</v>
      </c>
      <c r="M736" s="5">
        <f t="shared" si="22"/>
        <v>13.424999999999997</v>
      </c>
      <c r="N736" t="str">
        <f>IF(I736="Rob","Robusta",IF(I736="Exc","Excelsa",IF(I736="Ara","Arabica",IF(I736="Lib","Liberica",""))))</f>
        <v>Robusta</v>
      </c>
      <c r="O736" t="str">
        <f t="shared" si="23"/>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INDEX(products!$A$1:$G$49,MATCH($D737,products!$A$1:$A$49,0),MATCH(orders!I$1,products!$A$1:$G$1,0))</f>
        <v>Exc</v>
      </c>
      <c r="J737" t="str">
        <f>INDEX(products!$A$1:$G$49,MATCH($D737,products!$A$1:$A$49,0),MATCH(orders!J$1,products!$A$1:$G$1,0))</f>
        <v>D</v>
      </c>
      <c r="K737" s="4">
        <f>INDEX(products!$A$1:$G$49,MATCH($D737,products!$A$1:$A$49,0),MATCH(orders!K$1,products!$A$1:$G$1,0))</f>
        <v>0.2</v>
      </c>
      <c r="L737" s="5">
        <f>INDEX(products!$A$1:$G$49,MATCH($D737,products!$A$1:$A$49,0),MATCH(orders!L$1,products!$A$1:$G$1,0))</f>
        <v>3.645</v>
      </c>
      <c r="M737" s="5">
        <f t="shared" si="22"/>
        <v>21.87</v>
      </c>
      <c r="N737" t="str">
        <f>IF(I737="Rob","Robusta",IF(I737="Exc","Excelsa",IF(I737="Ara","Arabica",IF(I737="Lib","Liberica",""))))</f>
        <v>Excelsa</v>
      </c>
      <c r="O737" t="str">
        <f t="shared" si="23"/>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INDEX(products!$A$1:$G$49,MATCH($D738,products!$A$1:$A$49,0),MATCH(orders!I$1,products!$A$1:$G$1,0))</f>
        <v>Lib</v>
      </c>
      <c r="J738" t="str">
        <f>INDEX(products!$A$1:$G$49,MATCH($D738,products!$A$1:$A$49,0),MATCH(orders!J$1,products!$A$1:$G$1,0))</f>
        <v>D</v>
      </c>
      <c r="K738" s="4">
        <f>INDEX(products!$A$1:$G$49,MATCH($D738,products!$A$1:$A$49,0),MATCH(orders!K$1,products!$A$1:$G$1,0))</f>
        <v>1</v>
      </c>
      <c r="L738" s="5">
        <f>INDEX(products!$A$1:$G$49,MATCH($D738,products!$A$1:$A$49,0),MATCH(orders!L$1,products!$A$1:$G$1,0))</f>
        <v>12.95</v>
      </c>
      <c r="M738" s="5">
        <f t="shared" si="22"/>
        <v>25.9</v>
      </c>
      <c r="N738" t="str">
        <f>IF(I738="Rob","Robusta",IF(I738="Exc","Excelsa",IF(I738="Ara","Arabica",IF(I738="Lib","Liberica",""))))</f>
        <v>Liberica</v>
      </c>
      <c r="O738" t="str">
        <f t="shared" si="23"/>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INDEX(products!$A$1:$G$49,MATCH($D739,products!$A$1:$A$49,0),MATCH(orders!I$1,products!$A$1:$G$1,0))</f>
        <v>Ara</v>
      </c>
      <c r="J739" t="str">
        <f>INDEX(products!$A$1:$G$49,MATCH($D739,products!$A$1:$A$49,0),MATCH(orders!J$1,products!$A$1:$G$1,0))</f>
        <v>M</v>
      </c>
      <c r="K739" s="4">
        <f>INDEX(products!$A$1:$G$49,MATCH($D739,products!$A$1:$A$49,0),MATCH(orders!K$1,products!$A$1:$G$1,0))</f>
        <v>1</v>
      </c>
      <c r="L739" s="5">
        <f>INDEX(products!$A$1:$G$49,MATCH($D739,products!$A$1:$A$49,0),MATCH(orders!L$1,products!$A$1:$G$1,0))</f>
        <v>11.25</v>
      </c>
      <c r="M739" s="5">
        <f t="shared" si="22"/>
        <v>56.25</v>
      </c>
      <c r="N739" t="str">
        <f>IF(I739="Rob","Robusta",IF(I739="Exc","Excelsa",IF(I739="Ara","Arabica",IF(I739="Lib","Liberica",""))))</f>
        <v>Arabica</v>
      </c>
      <c r="O739" t="str">
        <f t="shared" si="23"/>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INDEX(products!$A$1:$G$49,MATCH($D740,products!$A$1:$A$49,0),MATCH(orders!I$1,products!$A$1:$G$1,0))</f>
        <v>Rob</v>
      </c>
      <c r="J740" t="str">
        <f>INDEX(products!$A$1:$G$49,MATCH($D740,products!$A$1:$A$49,0),MATCH(orders!J$1,products!$A$1:$G$1,0))</f>
        <v>L</v>
      </c>
      <c r="K740" s="4">
        <f>INDEX(products!$A$1:$G$49,MATCH($D740,products!$A$1:$A$49,0),MATCH(orders!K$1,products!$A$1:$G$1,0))</f>
        <v>0.2</v>
      </c>
      <c r="L740" s="5">
        <f>INDEX(products!$A$1:$G$49,MATCH($D740,products!$A$1:$A$49,0),MATCH(orders!L$1,products!$A$1:$G$1,0))</f>
        <v>3.5849999999999995</v>
      </c>
      <c r="M740" s="5">
        <f t="shared" si="22"/>
        <v>10.754999999999999</v>
      </c>
      <c r="N740" t="str">
        <f>IF(I740="Rob","Robusta",IF(I740="Exc","Excelsa",IF(I740="Ara","Arabica",IF(I740="Lib","Liberica",""))))</f>
        <v>Robusta</v>
      </c>
      <c r="O740" t="str">
        <f t="shared" si="23"/>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INDEX(products!$A$1:$G$49,MATCH($D741,products!$A$1:$A$49,0),MATCH(orders!I$1,products!$A$1:$G$1,0))</f>
        <v>Exc</v>
      </c>
      <c r="J741" t="str">
        <f>INDEX(products!$A$1:$G$49,MATCH($D741,products!$A$1:$A$49,0),MATCH(orders!J$1,products!$A$1:$G$1,0))</f>
        <v>D</v>
      </c>
      <c r="K741" s="4">
        <f>INDEX(products!$A$1:$G$49,MATCH($D741,products!$A$1:$A$49,0),MATCH(orders!K$1,products!$A$1:$G$1,0))</f>
        <v>0.2</v>
      </c>
      <c r="L741" s="5">
        <f>INDEX(products!$A$1:$G$49,MATCH($D741,products!$A$1:$A$49,0),MATCH(orders!L$1,products!$A$1:$G$1,0))</f>
        <v>3.645</v>
      </c>
      <c r="M741" s="5">
        <f t="shared" si="22"/>
        <v>18.225000000000001</v>
      </c>
      <c r="N741" t="str">
        <f>IF(I741="Rob","Robusta",IF(I741="Exc","Excelsa",IF(I741="Ara","Arabica",IF(I741="Lib","Liberica",""))))</f>
        <v>Excelsa</v>
      </c>
      <c r="O741" t="str">
        <f t="shared" si="23"/>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INDEX(products!$A$1:$G$49,MATCH($D742,products!$A$1:$A$49,0),MATCH(orders!I$1,products!$A$1:$G$1,0))</f>
        <v>Rob</v>
      </c>
      <c r="J742" t="str">
        <f>INDEX(products!$A$1:$G$49,MATCH($D742,products!$A$1:$A$49,0),MATCH(orders!J$1,products!$A$1:$G$1,0))</f>
        <v>L</v>
      </c>
      <c r="K742" s="4">
        <f>INDEX(products!$A$1:$G$49,MATCH($D742,products!$A$1:$A$49,0),MATCH(orders!K$1,products!$A$1:$G$1,0))</f>
        <v>0.5</v>
      </c>
      <c r="L742" s="5">
        <f>INDEX(products!$A$1:$G$49,MATCH($D742,products!$A$1:$A$49,0),MATCH(orders!L$1,products!$A$1:$G$1,0))</f>
        <v>7.169999999999999</v>
      </c>
      <c r="M742" s="5">
        <f t="shared" si="22"/>
        <v>28.679999999999996</v>
      </c>
      <c r="N742" t="str">
        <f>IF(I742="Rob","Robusta",IF(I742="Exc","Excelsa",IF(I742="Ara","Arabica",IF(I742="Lib","Liberica",""))))</f>
        <v>Robusta</v>
      </c>
      <c r="O742" t="str">
        <f t="shared" si="23"/>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INDEX(products!$A$1:$G$49,MATCH($D743,products!$A$1:$A$49,0),MATCH(orders!I$1,products!$A$1:$G$1,0))</f>
        <v>Lib</v>
      </c>
      <c r="J743" t="str">
        <f>INDEX(products!$A$1:$G$49,MATCH($D743,products!$A$1:$A$49,0),MATCH(orders!J$1,products!$A$1:$G$1,0))</f>
        <v>M</v>
      </c>
      <c r="K743" s="4">
        <f>INDEX(products!$A$1:$G$49,MATCH($D743,products!$A$1:$A$49,0),MATCH(orders!K$1,products!$A$1:$G$1,0))</f>
        <v>0.2</v>
      </c>
      <c r="L743" s="5">
        <f>INDEX(products!$A$1:$G$49,MATCH($D743,products!$A$1:$A$49,0),MATCH(orders!L$1,products!$A$1:$G$1,0))</f>
        <v>4.3650000000000002</v>
      </c>
      <c r="M743" s="5">
        <f t="shared" si="22"/>
        <v>8.73</v>
      </c>
      <c r="N743" t="str">
        <f>IF(I743="Rob","Robusta",IF(I743="Exc","Excelsa",IF(I743="Ara","Arabica",IF(I743="Lib","Liberica",""))))</f>
        <v>Liberica</v>
      </c>
      <c r="O743" t="str">
        <f t="shared" si="23"/>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INDEX(products!$A$1:$G$49,MATCH($D744,products!$A$1:$A$49,0),MATCH(orders!I$1,products!$A$1:$G$1,0))</f>
        <v>Lib</v>
      </c>
      <c r="J744" t="str">
        <f>INDEX(products!$A$1:$G$49,MATCH($D744,products!$A$1:$A$49,0),MATCH(orders!J$1,products!$A$1:$G$1,0))</f>
        <v>M</v>
      </c>
      <c r="K744" s="4">
        <f>INDEX(products!$A$1:$G$49,MATCH($D744,products!$A$1:$A$49,0),MATCH(orders!K$1,products!$A$1:$G$1,0))</f>
        <v>1</v>
      </c>
      <c r="L744" s="5">
        <f>INDEX(products!$A$1:$G$49,MATCH($D744,products!$A$1:$A$49,0),MATCH(orders!L$1,products!$A$1:$G$1,0))</f>
        <v>14.55</v>
      </c>
      <c r="M744" s="5">
        <f t="shared" si="22"/>
        <v>58.2</v>
      </c>
      <c r="N744" t="str">
        <f>IF(I744="Rob","Robusta",IF(I744="Exc","Excelsa",IF(I744="Ara","Arabica",IF(I744="Lib","Liberica",""))))</f>
        <v>Liberica</v>
      </c>
      <c r="O744" t="str">
        <f t="shared" si="23"/>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INDEX(products!$A$1:$G$49,MATCH($D745,products!$A$1:$A$49,0),MATCH(orders!I$1,products!$A$1:$G$1,0))</f>
        <v>Ara</v>
      </c>
      <c r="J745" t="str">
        <f>INDEX(products!$A$1:$G$49,MATCH($D745,products!$A$1:$A$49,0),MATCH(orders!J$1,products!$A$1:$G$1,0))</f>
        <v>D</v>
      </c>
      <c r="K745" s="4">
        <f>INDEX(products!$A$1:$G$49,MATCH($D745,products!$A$1:$A$49,0),MATCH(orders!K$1,products!$A$1:$G$1,0))</f>
        <v>0.5</v>
      </c>
      <c r="L745" s="5">
        <f>INDEX(products!$A$1:$G$49,MATCH($D745,products!$A$1:$A$49,0),MATCH(orders!L$1,products!$A$1:$G$1,0))</f>
        <v>5.97</v>
      </c>
      <c r="M745" s="5">
        <f t="shared" si="22"/>
        <v>17.91</v>
      </c>
      <c r="N745" t="str">
        <f>IF(I745="Rob","Robusta",IF(I745="Exc","Excelsa",IF(I745="Ara","Arabica",IF(I745="Lib","Liberica",""))))</f>
        <v>Arabica</v>
      </c>
      <c r="O745" t="str">
        <f t="shared" si="23"/>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INDEX(products!$A$1:$G$49,MATCH($D746,products!$A$1:$A$49,0),MATCH(orders!I$1,products!$A$1:$G$1,0))</f>
        <v>Rob</v>
      </c>
      <c r="J746" t="str">
        <f>INDEX(products!$A$1:$G$49,MATCH($D746,products!$A$1:$A$49,0),MATCH(orders!J$1,products!$A$1:$G$1,0))</f>
        <v>M</v>
      </c>
      <c r="K746" s="4">
        <f>INDEX(products!$A$1:$G$49,MATCH($D746,products!$A$1:$A$49,0),MATCH(orders!K$1,products!$A$1:$G$1,0))</f>
        <v>0.2</v>
      </c>
      <c r="L746" s="5">
        <f>INDEX(products!$A$1:$G$49,MATCH($D746,products!$A$1:$A$49,0),MATCH(orders!L$1,products!$A$1:$G$1,0))</f>
        <v>2.9849999999999999</v>
      </c>
      <c r="M746" s="5">
        <f t="shared" si="22"/>
        <v>17.91</v>
      </c>
      <c r="N746" t="str">
        <f>IF(I746="Rob","Robusta",IF(I746="Exc","Excelsa",IF(I746="Ara","Arabica",IF(I746="Lib","Liberica",""))))</f>
        <v>Robusta</v>
      </c>
      <c r="O746" t="str">
        <f t="shared" si="23"/>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INDEX(products!$A$1:$G$49,MATCH($D747,products!$A$1:$A$49,0),MATCH(orders!I$1,products!$A$1:$G$1,0))</f>
        <v>Exc</v>
      </c>
      <c r="J747" t="str">
        <f>INDEX(products!$A$1:$G$49,MATCH($D747,products!$A$1:$A$49,0),MATCH(orders!J$1,products!$A$1:$G$1,0))</f>
        <v>D</v>
      </c>
      <c r="K747" s="4">
        <f>INDEX(products!$A$1:$G$49,MATCH($D747,products!$A$1:$A$49,0),MATCH(orders!K$1,products!$A$1:$G$1,0))</f>
        <v>0.5</v>
      </c>
      <c r="L747" s="5">
        <f>INDEX(products!$A$1:$G$49,MATCH($D747,products!$A$1:$A$49,0),MATCH(orders!L$1,products!$A$1:$G$1,0))</f>
        <v>7.29</v>
      </c>
      <c r="M747" s="5">
        <f t="shared" si="22"/>
        <v>14.58</v>
      </c>
      <c r="N747" t="str">
        <f>IF(I747="Rob","Robusta",IF(I747="Exc","Excelsa",IF(I747="Ara","Arabica",IF(I747="Lib","Liberica",""))))</f>
        <v>Excelsa</v>
      </c>
      <c r="O747" t="str">
        <f t="shared" si="23"/>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INDEX(products!$A$1:$G$49,MATCH($D748,products!$A$1:$A$49,0),MATCH(orders!I$1,products!$A$1:$G$1,0))</f>
        <v>Ara</v>
      </c>
      <c r="J748" t="str">
        <f>INDEX(products!$A$1:$G$49,MATCH($D748,products!$A$1:$A$49,0),MATCH(orders!J$1,products!$A$1:$G$1,0))</f>
        <v>M</v>
      </c>
      <c r="K748" s="4">
        <f>INDEX(products!$A$1:$G$49,MATCH($D748,products!$A$1:$A$49,0),MATCH(orders!K$1,products!$A$1:$G$1,0))</f>
        <v>1</v>
      </c>
      <c r="L748" s="5">
        <f>INDEX(products!$A$1:$G$49,MATCH($D748,products!$A$1:$A$49,0),MATCH(orders!L$1,products!$A$1:$G$1,0))</f>
        <v>11.25</v>
      </c>
      <c r="M748" s="5">
        <f t="shared" si="22"/>
        <v>33.75</v>
      </c>
      <c r="N748" t="str">
        <f>IF(I748="Rob","Robusta",IF(I748="Exc","Excelsa",IF(I748="Ara","Arabica",IF(I748="Lib","Liberica",""))))</f>
        <v>Arabica</v>
      </c>
      <c r="O748" t="str">
        <f t="shared" si="23"/>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INDEX(products!$A$1:$G$49,MATCH($D749,products!$A$1:$A$49,0),MATCH(orders!I$1,products!$A$1:$G$1,0))</f>
        <v>Lib</v>
      </c>
      <c r="J749" t="str">
        <f>INDEX(products!$A$1:$G$49,MATCH($D749,products!$A$1:$A$49,0),MATCH(orders!J$1,products!$A$1:$G$1,0))</f>
        <v>M</v>
      </c>
      <c r="K749" s="4">
        <f>INDEX(products!$A$1:$G$49,MATCH($D749,products!$A$1:$A$49,0),MATCH(orders!K$1,products!$A$1:$G$1,0))</f>
        <v>0.5</v>
      </c>
      <c r="L749" s="5">
        <f>INDEX(products!$A$1:$G$49,MATCH($D749,products!$A$1:$A$49,0),MATCH(orders!L$1,products!$A$1:$G$1,0))</f>
        <v>8.73</v>
      </c>
      <c r="M749" s="5">
        <f t="shared" si="22"/>
        <v>34.92</v>
      </c>
      <c r="N749" t="str">
        <f>IF(I749="Rob","Robusta",IF(I749="Exc","Excelsa",IF(I749="Ara","Arabica",IF(I749="Lib","Liberica",""))))</f>
        <v>Liberica</v>
      </c>
      <c r="O749" t="str">
        <f t="shared" si="23"/>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INDEX(products!$A$1:$G$49,MATCH($D750,products!$A$1:$A$49,0),MATCH(orders!I$1,products!$A$1:$G$1,0))</f>
        <v>Exc</v>
      </c>
      <c r="J750" t="str">
        <f>INDEX(products!$A$1:$G$49,MATCH($D750,products!$A$1:$A$49,0),MATCH(orders!J$1,products!$A$1:$G$1,0))</f>
        <v>D</v>
      </c>
      <c r="K750" s="4">
        <f>INDEX(products!$A$1:$G$49,MATCH($D750,products!$A$1:$A$49,0),MATCH(orders!K$1,products!$A$1:$G$1,0))</f>
        <v>0.5</v>
      </c>
      <c r="L750" s="5">
        <f>INDEX(products!$A$1:$G$49,MATCH($D750,products!$A$1:$A$49,0),MATCH(orders!L$1,products!$A$1:$G$1,0))</f>
        <v>7.29</v>
      </c>
      <c r="M750" s="5">
        <f t="shared" si="22"/>
        <v>14.58</v>
      </c>
      <c r="N750" t="str">
        <f>IF(I750="Rob","Robusta",IF(I750="Exc","Excelsa",IF(I750="Ara","Arabica",IF(I750="Lib","Liberica",""))))</f>
        <v>Excelsa</v>
      </c>
      <c r="O750" t="str">
        <f t="shared" si="23"/>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INDEX(products!$A$1:$G$49,MATCH($D751,products!$A$1:$A$49,0),MATCH(orders!I$1,products!$A$1:$G$1,0))</f>
        <v>Rob</v>
      </c>
      <c r="J751" t="str">
        <f>INDEX(products!$A$1:$G$49,MATCH($D751,products!$A$1:$A$49,0),MATCH(orders!J$1,products!$A$1:$G$1,0))</f>
        <v>D</v>
      </c>
      <c r="K751" s="4">
        <f>INDEX(products!$A$1:$G$49,MATCH($D751,products!$A$1:$A$49,0),MATCH(orders!K$1,products!$A$1:$G$1,0))</f>
        <v>0.2</v>
      </c>
      <c r="L751" s="5">
        <f>INDEX(products!$A$1:$G$49,MATCH($D751,products!$A$1:$A$49,0),MATCH(orders!L$1,products!$A$1:$G$1,0))</f>
        <v>2.6849999999999996</v>
      </c>
      <c r="M751" s="5">
        <f t="shared" si="22"/>
        <v>5.3699999999999992</v>
      </c>
      <c r="N751" t="str">
        <f>IF(I751="Rob","Robusta",IF(I751="Exc","Excelsa",IF(I751="Ara","Arabica",IF(I751="Lib","Liberica",""))))</f>
        <v>Robusta</v>
      </c>
      <c r="O751" t="str">
        <f t="shared" si="23"/>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INDEX(products!$A$1:$G$49,MATCH($D752,products!$A$1:$A$49,0),MATCH(orders!I$1,products!$A$1:$G$1,0))</f>
        <v>Rob</v>
      </c>
      <c r="J752" t="str">
        <f>INDEX(products!$A$1:$G$49,MATCH($D752,products!$A$1:$A$49,0),MATCH(orders!J$1,products!$A$1:$G$1,0))</f>
        <v>M</v>
      </c>
      <c r="K752" s="4">
        <f>INDEX(products!$A$1:$G$49,MATCH($D752,products!$A$1:$A$49,0),MATCH(orders!K$1,products!$A$1:$G$1,0))</f>
        <v>0.5</v>
      </c>
      <c r="L752" s="5">
        <f>INDEX(products!$A$1:$G$49,MATCH($D752,products!$A$1:$A$49,0),MATCH(orders!L$1,products!$A$1:$G$1,0))</f>
        <v>5.97</v>
      </c>
      <c r="M752" s="5">
        <f t="shared" si="22"/>
        <v>5.97</v>
      </c>
      <c r="N752" t="str">
        <f>IF(I752="Rob","Robusta",IF(I752="Exc","Excelsa",IF(I752="Ara","Arabica",IF(I752="Lib","Liberica",""))))</f>
        <v>Robusta</v>
      </c>
      <c r="O752" t="str">
        <f t="shared" si="23"/>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INDEX(products!$A$1:$G$49,MATCH($D753,products!$A$1:$A$49,0),MATCH(orders!I$1,products!$A$1:$G$1,0))</f>
        <v>Lib</v>
      </c>
      <c r="J753" t="str">
        <f>INDEX(products!$A$1:$G$49,MATCH($D753,products!$A$1:$A$49,0),MATCH(orders!J$1,products!$A$1:$G$1,0))</f>
        <v>L</v>
      </c>
      <c r="K753" s="4">
        <f>INDEX(products!$A$1:$G$49,MATCH($D753,products!$A$1:$A$49,0),MATCH(orders!K$1,products!$A$1:$G$1,0))</f>
        <v>0.5</v>
      </c>
      <c r="L753" s="5">
        <f>INDEX(products!$A$1:$G$49,MATCH($D753,products!$A$1:$A$49,0),MATCH(orders!L$1,products!$A$1:$G$1,0))</f>
        <v>9.51</v>
      </c>
      <c r="M753" s="5">
        <f t="shared" si="22"/>
        <v>19.02</v>
      </c>
      <c r="N753" t="str">
        <f>IF(I753="Rob","Robusta",IF(I753="Exc","Excelsa",IF(I753="Ara","Arabica",IF(I753="Lib","Liberica",""))))</f>
        <v>Liberica</v>
      </c>
      <c r="O753" t="str">
        <f t="shared" si="23"/>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INDEX(products!$A$1:$G$49,MATCH($D754,products!$A$1:$A$49,0),MATCH(orders!I$1,products!$A$1:$G$1,0))</f>
        <v>Exc</v>
      </c>
      <c r="J754" t="str">
        <f>INDEX(products!$A$1:$G$49,MATCH($D754,products!$A$1:$A$49,0),MATCH(orders!J$1,products!$A$1:$G$1,0))</f>
        <v>M</v>
      </c>
      <c r="K754" s="4">
        <f>INDEX(products!$A$1:$G$49,MATCH($D754,products!$A$1:$A$49,0),MATCH(orders!K$1,products!$A$1:$G$1,0))</f>
        <v>1</v>
      </c>
      <c r="L754" s="5">
        <f>INDEX(products!$A$1:$G$49,MATCH($D754,products!$A$1:$A$49,0),MATCH(orders!L$1,products!$A$1:$G$1,0))</f>
        <v>13.75</v>
      </c>
      <c r="M754" s="5">
        <f t="shared" si="22"/>
        <v>27.5</v>
      </c>
      <c r="N754" t="str">
        <f>IF(I754="Rob","Robusta",IF(I754="Exc","Excelsa",IF(I754="Ara","Arabica",IF(I754="Lib","Liberica",""))))</f>
        <v>Excelsa</v>
      </c>
      <c r="O754" t="str">
        <f t="shared" si="23"/>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INDEX(products!$A$1:$G$49,MATCH($D755,products!$A$1:$A$49,0),MATCH(orders!I$1,products!$A$1:$G$1,0))</f>
        <v>Ara</v>
      </c>
      <c r="J755" t="str">
        <f>INDEX(products!$A$1:$G$49,MATCH($D755,products!$A$1:$A$49,0),MATCH(orders!J$1,products!$A$1:$G$1,0))</f>
        <v>D</v>
      </c>
      <c r="K755" s="4">
        <f>INDEX(products!$A$1:$G$49,MATCH($D755,products!$A$1:$A$49,0),MATCH(orders!K$1,products!$A$1:$G$1,0))</f>
        <v>0.5</v>
      </c>
      <c r="L755" s="5">
        <f>INDEX(products!$A$1:$G$49,MATCH($D755,products!$A$1:$A$49,0),MATCH(orders!L$1,products!$A$1:$G$1,0))</f>
        <v>5.97</v>
      </c>
      <c r="M755" s="5">
        <f t="shared" si="22"/>
        <v>29.849999999999998</v>
      </c>
      <c r="N755" t="str">
        <f>IF(I755="Rob","Robusta",IF(I755="Exc","Excelsa",IF(I755="Ara","Arabica",IF(I755="Lib","Liberica",""))))</f>
        <v>Arabica</v>
      </c>
      <c r="O755" t="str">
        <f t="shared" si="23"/>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INDEX(products!$A$1:$G$49,MATCH($D756,products!$A$1:$A$49,0),MATCH(orders!I$1,products!$A$1:$G$1,0))</f>
        <v>Ara</v>
      </c>
      <c r="J756" t="str">
        <f>INDEX(products!$A$1:$G$49,MATCH($D756,products!$A$1:$A$49,0),MATCH(orders!J$1,products!$A$1:$G$1,0))</f>
        <v>D</v>
      </c>
      <c r="K756" s="4">
        <f>INDEX(products!$A$1:$G$49,MATCH($D756,products!$A$1:$A$49,0),MATCH(orders!K$1,products!$A$1:$G$1,0))</f>
        <v>0.2</v>
      </c>
      <c r="L756" s="5">
        <f>INDEX(products!$A$1:$G$49,MATCH($D756,products!$A$1:$A$49,0),MATCH(orders!L$1,products!$A$1:$G$1,0))</f>
        <v>2.9849999999999999</v>
      </c>
      <c r="M756" s="5">
        <f t="shared" si="22"/>
        <v>17.91</v>
      </c>
      <c r="N756" t="str">
        <f>IF(I756="Rob","Robusta",IF(I756="Exc","Excelsa",IF(I756="Ara","Arabica",IF(I756="Lib","Liberica",""))))</f>
        <v>Arabica</v>
      </c>
      <c r="O756" t="str">
        <f t="shared" si="23"/>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INDEX(products!$A$1:$G$49,MATCH($D757,products!$A$1:$A$49,0),MATCH(orders!I$1,products!$A$1:$G$1,0))</f>
        <v>Lib</v>
      </c>
      <c r="J757" t="str">
        <f>INDEX(products!$A$1:$G$49,MATCH($D757,products!$A$1:$A$49,0),MATCH(orders!J$1,products!$A$1:$G$1,0))</f>
        <v>L</v>
      </c>
      <c r="K757" s="4">
        <f>INDEX(products!$A$1:$G$49,MATCH($D757,products!$A$1:$A$49,0),MATCH(orders!K$1,products!$A$1:$G$1,0))</f>
        <v>0.2</v>
      </c>
      <c r="L757" s="5">
        <f>INDEX(products!$A$1:$G$49,MATCH($D757,products!$A$1:$A$49,0),MATCH(orders!L$1,products!$A$1:$G$1,0))</f>
        <v>4.7549999999999999</v>
      </c>
      <c r="M757" s="5">
        <f t="shared" si="22"/>
        <v>28.53</v>
      </c>
      <c r="N757" t="str">
        <f>IF(I757="Rob","Robusta",IF(I757="Exc","Excelsa",IF(I757="Ara","Arabica",IF(I757="Lib","Liberica",""))))</f>
        <v>Liberica</v>
      </c>
      <c r="O757" t="str">
        <f t="shared" si="23"/>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INDEX(products!$A$1:$G$49,MATCH($D758,products!$A$1:$A$49,0),MATCH(orders!I$1,products!$A$1:$G$1,0))</f>
        <v>Rob</v>
      </c>
      <c r="J758" t="str">
        <f>INDEX(products!$A$1:$G$49,MATCH($D758,products!$A$1:$A$49,0),MATCH(orders!J$1,products!$A$1:$G$1,0))</f>
        <v>D</v>
      </c>
      <c r="K758" s="4">
        <f>INDEX(products!$A$1:$G$49,MATCH($D758,products!$A$1:$A$49,0),MATCH(orders!K$1,products!$A$1:$G$1,0))</f>
        <v>1</v>
      </c>
      <c r="L758" s="5">
        <f>INDEX(products!$A$1:$G$49,MATCH($D758,products!$A$1:$A$49,0),MATCH(orders!L$1,products!$A$1:$G$1,0))</f>
        <v>8.9499999999999993</v>
      </c>
      <c r="M758" s="5">
        <f t="shared" si="22"/>
        <v>35.799999999999997</v>
      </c>
      <c r="N758" t="str">
        <f>IF(I758="Rob","Robusta",IF(I758="Exc","Excelsa",IF(I758="Ara","Arabica",IF(I758="Lib","Liberica",""))))</f>
        <v>Robusta</v>
      </c>
      <c r="O758" t="str">
        <f t="shared" si="23"/>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INDEX(products!$A$1:$G$49,MATCH($D759,products!$A$1:$A$49,0),MATCH(orders!I$1,products!$A$1:$G$1,0))</f>
        <v>Ara</v>
      </c>
      <c r="J759" t="str">
        <f>INDEX(products!$A$1:$G$49,MATCH($D759,products!$A$1:$A$49,0),MATCH(orders!J$1,products!$A$1:$G$1,0))</f>
        <v>D</v>
      </c>
      <c r="K759" s="4">
        <f>INDEX(products!$A$1:$G$49,MATCH($D759,products!$A$1:$A$49,0),MATCH(orders!K$1,products!$A$1:$G$1,0))</f>
        <v>0.5</v>
      </c>
      <c r="L759" s="5">
        <f>INDEX(products!$A$1:$G$49,MATCH($D759,products!$A$1:$A$49,0),MATCH(orders!L$1,products!$A$1:$G$1,0))</f>
        <v>5.97</v>
      </c>
      <c r="M759" s="5">
        <f t="shared" si="22"/>
        <v>17.91</v>
      </c>
      <c r="N759" t="str">
        <f>IF(I759="Rob","Robusta",IF(I759="Exc","Excelsa",IF(I759="Ara","Arabica",IF(I759="Lib","Liberica",""))))</f>
        <v>Arabica</v>
      </c>
      <c r="O759" t="str">
        <f t="shared" si="23"/>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INDEX(products!$A$1:$G$49,MATCH($D760,products!$A$1:$A$49,0),MATCH(orders!I$1,products!$A$1:$G$1,0))</f>
        <v>Rob</v>
      </c>
      <c r="J760" t="str">
        <f>INDEX(products!$A$1:$G$49,MATCH($D760,products!$A$1:$A$49,0),MATCH(orders!J$1,products!$A$1:$G$1,0))</f>
        <v>D</v>
      </c>
      <c r="K760" s="4">
        <f>INDEX(products!$A$1:$G$49,MATCH($D760,products!$A$1:$A$49,0),MATCH(orders!K$1,products!$A$1:$G$1,0))</f>
        <v>1</v>
      </c>
      <c r="L760" s="5">
        <f>INDEX(products!$A$1:$G$49,MATCH($D760,products!$A$1:$A$49,0),MATCH(orders!L$1,products!$A$1:$G$1,0))</f>
        <v>8.9499999999999993</v>
      </c>
      <c r="M760" s="5">
        <f t="shared" si="22"/>
        <v>8.9499999999999993</v>
      </c>
      <c r="N760" t="str">
        <f>IF(I760="Rob","Robusta",IF(I760="Exc","Excelsa",IF(I760="Ara","Arabica",IF(I760="Lib","Liberica",""))))</f>
        <v>Robusta</v>
      </c>
      <c r="O760" t="str">
        <f t="shared" si="23"/>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INDEX(products!$A$1:$G$49,MATCH($D761,products!$A$1:$A$49,0),MATCH(orders!I$1,products!$A$1:$G$1,0))</f>
        <v>Lib</v>
      </c>
      <c r="J761" t="str">
        <f>INDEX(products!$A$1:$G$49,MATCH($D761,products!$A$1:$A$49,0),MATCH(orders!J$1,products!$A$1:$G$1,0))</f>
        <v>D</v>
      </c>
      <c r="K761" s="4">
        <f>INDEX(products!$A$1:$G$49,MATCH($D761,products!$A$1:$A$49,0),MATCH(orders!K$1,products!$A$1:$G$1,0))</f>
        <v>2.5</v>
      </c>
      <c r="L761" s="5">
        <f>INDEX(products!$A$1:$G$49,MATCH($D761,products!$A$1:$A$49,0),MATCH(orders!L$1,products!$A$1:$G$1,0))</f>
        <v>29.784999999999997</v>
      </c>
      <c r="M761" s="5">
        <f t="shared" si="22"/>
        <v>29.784999999999997</v>
      </c>
      <c r="N761" t="str">
        <f>IF(I761="Rob","Robusta",IF(I761="Exc","Excelsa",IF(I761="Ara","Arabica",IF(I761="Lib","Liberica",""))))</f>
        <v>Liberica</v>
      </c>
      <c r="O761" t="str">
        <f t="shared" si="23"/>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INDEX(products!$A$1:$G$49,MATCH($D762,products!$A$1:$A$49,0),MATCH(orders!I$1,products!$A$1:$G$1,0))</f>
        <v>Exc</v>
      </c>
      <c r="J762" t="str">
        <f>INDEX(products!$A$1:$G$49,MATCH($D762,products!$A$1:$A$49,0),MATCH(orders!J$1,products!$A$1:$G$1,0))</f>
        <v>L</v>
      </c>
      <c r="K762" s="4">
        <f>INDEX(products!$A$1:$G$49,MATCH($D762,products!$A$1:$A$49,0),MATCH(orders!K$1,products!$A$1:$G$1,0))</f>
        <v>0.5</v>
      </c>
      <c r="L762" s="5">
        <f>INDEX(products!$A$1:$G$49,MATCH($D762,products!$A$1:$A$49,0),MATCH(orders!L$1,products!$A$1:$G$1,0))</f>
        <v>8.91</v>
      </c>
      <c r="M762" s="5">
        <f t="shared" si="22"/>
        <v>44.55</v>
      </c>
      <c r="N762" t="str">
        <f>IF(I762="Rob","Robusta",IF(I762="Exc","Excelsa",IF(I762="Ara","Arabica",IF(I762="Lib","Liberica",""))))</f>
        <v>Excelsa</v>
      </c>
      <c r="O762" t="str">
        <f t="shared" si="23"/>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INDEX(products!$A$1:$G$49,MATCH($D763,products!$A$1:$A$49,0),MATCH(orders!I$1,products!$A$1:$G$1,0))</f>
        <v>Exc</v>
      </c>
      <c r="J763" t="str">
        <f>INDEX(products!$A$1:$G$49,MATCH($D763,products!$A$1:$A$49,0),MATCH(orders!J$1,products!$A$1:$G$1,0))</f>
        <v>L</v>
      </c>
      <c r="K763" s="4">
        <f>INDEX(products!$A$1:$G$49,MATCH($D763,products!$A$1:$A$49,0),MATCH(orders!K$1,products!$A$1:$G$1,0))</f>
        <v>1</v>
      </c>
      <c r="L763" s="5">
        <f>INDEX(products!$A$1:$G$49,MATCH($D763,products!$A$1:$A$49,0),MATCH(orders!L$1,products!$A$1:$G$1,0))</f>
        <v>14.85</v>
      </c>
      <c r="M763" s="5">
        <f t="shared" si="22"/>
        <v>89.1</v>
      </c>
      <c r="N763" t="str">
        <f>IF(I763="Rob","Robusta",IF(I763="Exc","Excelsa",IF(I763="Ara","Arabica",IF(I763="Lib","Liberica",""))))</f>
        <v>Excelsa</v>
      </c>
      <c r="O763" t="str">
        <f t="shared" si="23"/>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INDEX(products!$A$1:$G$49,MATCH($D764,products!$A$1:$A$49,0),MATCH(orders!I$1,products!$A$1:$G$1,0))</f>
        <v>Lib</v>
      </c>
      <c r="J764" t="str">
        <f>INDEX(products!$A$1:$G$49,MATCH($D764,products!$A$1:$A$49,0),MATCH(orders!J$1,products!$A$1:$G$1,0))</f>
        <v>M</v>
      </c>
      <c r="K764" s="4">
        <f>INDEX(products!$A$1:$G$49,MATCH($D764,products!$A$1:$A$49,0),MATCH(orders!K$1,products!$A$1:$G$1,0))</f>
        <v>0.5</v>
      </c>
      <c r="L764" s="5">
        <f>INDEX(products!$A$1:$G$49,MATCH($D764,products!$A$1:$A$49,0),MATCH(orders!L$1,products!$A$1:$G$1,0))</f>
        <v>8.73</v>
      </c>
      <c r="M764" s="5">
        <f t="shared" si="22"/>
        <v>43.650000000000006</v>
      </c>
      <c r="N764" t="str">
        <f>IF(I764="Rob","Robusta",IF(I764="Exc","Excelsa",IF(I764="Ara","Arabica",IF(I764="Lib","Liberica",""))))</f>
        <v>Liberica</v>
      </c>
      <c r="O764" t="str">
        <f t="shared" si="23"/>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INDEX(products!$A$1:$G$49,MATCH($D765,products!$A$1:$A$49,0),MATCH(orders!I$1,products!$A$1:$G$1,0))</f>
        <v>Ara</v>
      </c>
      <c r="J765" t="str">
        <f>INDEX(products!$A$1:$G$49,MATCH($D765,products!$A$1:$A$49,0),MATCH(orders!J$1,products!$A$1:$G$1,0))</f>
        <v>L</v>
      </c>
      <c r="K765" s="4">
        <f>INDEX(products!$A$1:$G$49,MATCH($D765,products!$A$1:$A$49,0),MATCH(orders!K$1,products!$A$1:$G$1,0))</f>
        <v>0.5</v>
      </c>
      <c r="L765" s="5">
        <f>INDEX(products!$A$1:$G$49,MATCH($D765,products!$A$1:$A$49,0),MATCH(orders!L$1,products!$A$1:$G$1,0))</f>
        <v>7.77</v>
      </c>
      <c r="M765" s="5">
        <f t="shared" si="22"/>
        <v>23.31</v>
      </c>
      <c r="N765" t="str">
        <f>IF(I765="Rob","Robusta",IF(I765="Exc","Excelsa",IF(I765="Ara","Arabica",IF(I765="Lib","Liberica",""))))</f>
        <v>Arabica</v>
      </c>
      <c r="O765" t="str">
        <f t="shared" si="23"/>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INDEX(products!$A$1:$G$49,MATCH($D766,products!$A$1:$A$49,0),MATCH(orders!I$1,products!$A$1:$G$1,0))</f>
        <v>Ara</v>
      </c>
      <c r="J766" t="str">
        <f>INDEX(products!$A$1:$G$49,MATCH($D766,products!$A$1:$A$49,0),MATCH(orders!J$1,products!$A$1:$G$1,0))</f>
        <v>L</v>
      </c>
      <c r="K766" s="4">
        <f>INDEX(products!$A$1:$G$49,MATCH($D766,products!$A$1:$A$49,0),MATCH(orders!K$1,products!$A$1:$G$1,0))</f>
        <v>2.5</v>
      </c>
      <c r="L766" s="5">
        <f>INDEX(products!$A$1:$G$49,MATCH($D766,products!$A$1:$A$49,0),MATCH(orders!L$1,products!$A$1:$G$1,0))</f>
        <v>29.784999999999997</v>
      </c>
      <c r="M766" s="5">
        <f t="shared" si="22"/>
        <v>178.70999999999998</v>
      </c>
      <c r="N766" t="str">
        <f>IF(I766="Rob","Robusta",IF(I766="Exc","Excelsa",IF(I766="Ara","Arabica",IF(I766="Lib","Liberica",""))))</f>
        <v>Arabica</v>
      </c>
      <c r="O766" t="str">
        <f t="shared" si="23"/>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INDEX(products!$A$1:$G$49,MATCH($D767,products!$A$1:$A$49,0),MATCH(orders!I$1,products!$A$1:$G$1,0))</f>
        <v>Rob</v>
      </c>
      <c r="J767" t="str">
        <f>INDEX(products!$A$1:$G$49,MATCH($D767,products!$A$1:$A$49,0),MATCH(orders!J$1,products!$A$1:$G$1,0))</f>
        <v>M</v>
      </c>
      <c r="K767" s="4">
        <f>INDEX(products!$A$1:$G$49,MATCH($D767,products!$A$1:$A$49,0),MATCH(orders!K$1,products!$A$1:$G$1,0))</f>
        <v>1</v>
      </c>
      <c r="L767" s="5">
        <f>INDEX(products!$A$1:$G$49,MATCH($D767,products!$A$1:$A$49,0),MATCH(orders!L$1,products!$A$1:$G$1,0))</f>
        <v>9.9499999999999993</v>
      </c>
      <c r="M767" s="5">
        <f t="shared" si="22"/>
        <v>59.699999999999996</v>
      </c>
      <c r="N767" t="str">
        <f>IF(I767="Rob","Robusta",IF(I767="Exc","Excelsa",IF(I767="Ara","Arabica",IF(I767="Lib","Liberica",""))))</f>
        <v>Robusta</v>
      </c>
      <c r="O767" t="str">
        <f t="shared" si="23"/>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INDEX(products!$A$1:$G$49,MATCH($D768,products!$A$1:$A$49,0),MATCH(orders!I$1,products!$A$1:$G$1,0))</f>
        <v>Ara</v>
      </c>
      <c r="J768" t="str">
        <f>INDEX(products!$A$1:$G$49,MATCH($D768,products!$A$1:$A$49,0),MATCH(orders!J$1,products!$A$1:$G$1,0))</f>
        <v>L</v>
      </c>
      <c r="K768" s="4">
        <f>INDEX(products!$A$1:$G$49,MATCH($D768,products!$A$1:$A$49,0),MATCH(orders!K$1,products!$A$1:$G$1,0))</f>
        <v>0.5</v>
      </c>
      <c r="L768" s="5">
        <f>INDEX(products!$A$1:$G$49,MATCH($D768,products!$A$1:$A$49,0),MATCH(orders!L$1,products!$A$1:$G$1,0))</f>
        <v>7.77</v>
      </c>
      <c r="M768" s="5">
        <f t="shared" si="22"/>
        <v>15.54</v>
      </c>
      <c r="N768" t="str">
        <f>IF(I768="Rob","Robusta",IF(I768="Exc","Excelsa",IF(I768="Ara","Arabica",IF(I768="Lib","Liberica",""))))</f>
        <v>Arabica</v>
      </c>
      <c r="O768" t="str">
        <f t="shared" si="23"/>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INDEX(products!$A$1:$G$49,MATCH($D769,products!$A$1:$A$49,0),MATCH(orders!I$1,products!$A$1:$G$1,0))</f>
        <v>Ara</v>
      </c>
      <c r="J769" t="str">
        <f>INDEX(products!$A$1:$G$49,MATCH($D769,products!$A$1:$A$49,0),MATCH(orders!J$1,products!$A$1:$G$1,0))</f>
        <v>L</v>
      </c>
      <c r="K769" s="4">
        <f>INDEX(products!$A$1:$G$49,MATCH($D769,products!$A$1:$A$49,0),MATCH(orders!K$1,products!$A$1:$G$1,0))</f>
        <v>2.5</v>
      </c>
      <c r="L769" s="5">
        <f>INDEX(products!$A$1:$G$49,MATCH($D769,products!$A$1:$A$49,0),MATCH(orders!L$1,products!$A$1:$G$1,0))</f>
        <v>29.784999999999997</v>
      </c>
      <c r="M769" s="5">
        <f t="shared" si="22"/>
        <v>89.35499999999999</v>
      </c>
      <c r="N769" t="str">
        <f>IF(I769="Rob","Robusta",IF(I769="Exc","Excelsa",IF(I769="Ara","Arabica",IF(I769="Lib","Liberica",""))))</f>
        <v>Arabica</v>
      </c>
      <c r="O769" t="str">
        <f t="shared" si="23"/>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INDEX(products!$A$1:$G$49,MATCH($D770,products!$A$1:$A$49,0),MATCH(orders!I$1,products!$A$1:$G$1,0))</f>
        <v>Rob</v>
      </c>
      <c r="J770" t="str">
        <f>INDEX(products!$A$1:$G$49,MATCH($D770,products!$A$1:$A$49,0),MATCH(orders!J$1,products!$A$1:$G$1,0))</f>
        <v>L</v>
      </c>
      <c r="K770" s="4">
        <f>INDEX(products!$A$1:$G$49,MATCH($D770,products!$A$1:$A$49,0),MATCH(orders!K$1,products!$A$1:$G$1,0))</f>
        <v>1</v>
      </c>
      <c r="L770" s="5">
        <f>INDEX(products!$A$1:$G$49,MATCH($D770,products!$A$1:$A$49,0),MATCH(orders!L$1,products!$A$1:$G$1,0))</f>
        <v>11.95</v>
      </c>
      <c r="M770" s="5">
        <f t="shared" si="22"/>
        <v>23.9</v>
      </c>
      <c r="N770" t="str">
        <f>IF(I770="Rob","Robusta",IF(I770="Exc","Excelsa",IF(I770="Ara","Arabica",IF(I770="Lib","Liberica",""))))</f>
        <v>Robusta</v>
      </c>
      <c r="O770" t="str">
        <f t="shared" si="23"/>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INDEX(products!$A$1:$G$49,MATCH($D771,products!$A$1:$A$49,0),MATCH(orders!I$1,products!$A$1:$G$1,0))</f>
        <v>Rob</v>
      </c>
      <c r="J771" t="str">
        <f>INDEX(products!$A$1:$G$49,MATCH($D771,products!$A$1:$A$49,0),MATCH(orders!J$1,products!$A$1:$G$1,0))</f>
        <v>M</v>
      </c>
      <c r="K771" s="4">
        <f>INDEX(products!$A$1:$G$49,MATCH($D771,products!$A$1:$A$49,0),MATCH(orders!K$1,products!$A$1:$G$1,0))</f>
        <v>2.5</v>
      </c>
      <c r="L771" s="5">
        <f>INDEX(products!$A$1:$G$49,MATCH($D771,products!$A$1:$A$49,0),MATCH(orders!L$1,products!$A$1:$G$1,0))</f>
        <v>22.884999999999998</v>
      </c>
      <c r="M771" s="5">
        <f t="shared" ref="M771:M834" si="24">L771*E771</f>
        <v>137.31</v>
      </c>
      <c r="N771" t="str">
        <f>IF(I771="Rob","Robusta",IF(I771="Exc","Excelsa",IF(I771="Ara","Arabica",IF(I771="Lib","Liberica",""))))</f>
        <v>Robusta</v>
      </c>
      <c r="O771" t="str">
        <f t="shared" ref="O771:O834" si="25">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INDEX(products!$A$1:$G$49,MATCH($D772,products!$A$1:$A$49,0),MATCH(orders!I$1,products!$A$1:$G$1,0))</f>
        <v>Ara</v>
      </c>
      <c r="J772" t="str">
        <f>INDEX(products!$A$1:$G$49,MATCH($D772,products!$A$1:$A$49,0),MATCH(orders!J$1,products!$A$1:$G$1,0))</f>
        <v>D</v>
      </c>
      <c r="K772" s="4">
        <f>INDEX(products!$A$1:$G$49,MATCH($D772,products!$A$1:$A$49,0),MATCH(orders!K$1,products!$A$1:$G$1,0))</f>
        <v>1</v>
      </c>
      <c r="L772" s="5">
        <f>INDEX(products!$A$1:$G$49,MATCH($D772,products!$A$1:$A$49,0),MATCH(orders!L$1,products!$A$1:$G$1,0))</f>
        <v>9.9499999999999993</v>
      </c>
      <c r="M772" s="5">
        <f t="shared" si="24"/>
        <v>9.9499999999999993</v>
      </c>
      <c r="N772" t="str">
        <f>IF(I772="Rob","Robusta",IF(I772="Exc","Excelsa",IF(I772="Ara","Arabica",IF(I772="Lib","Liberica",""))))</f>
        <v>Arabica</v>
      </c>
      <c r="O772" t="str">
        <f t="shared" si="25"/>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INDEX(products!$A$1:$G$49,MATCH($D773,products!$A$1:$A$49,0),MATCH(orders!I$1,products!$A$1:$G$1,0))</f>
        <v>Rob</v>
      </c>
      <c r="J773" t="str">
        <f>INDEX(products!$A$1:$G$49,MATCH($D773,products!$A$1:$A$49,0),MATCH(orders!J$1,products!$A$1:$G$1,0))</f>
        <v>L</v>
      </c>
      <c r="K773" s="4">
        <f>INDEX(products!$A$1:$G$49,MATCH($D773,products!$A$1:$A$49,0),MATCH(orders!K$1,products!$A$1:$G$1,0))</f>
        <v>0.5</v>
      </c>
      <c r="L773" s="5">
        <f>INDEX(products!$A$1:$G$49,MATCH($D773,products!$A$1:$A$49,0),MATCH(orders!L$1,products!$A$1:$G$1,0))</f>
        <v>7.169999999999999</v>
      </c>
      <c r="M773" s="5">
        <f t="shared" si="24"/>
        <v>21.509999999999998</v>
      </c>
      <c r="N773" t="str">
        <f>IF(I773="Rob","Robusta",IF(I773="Exc","Excelsa",IF(I773="Ara","Arabica",IF(I773="Lib","Liberica",""))))</f>
        <v>Robusta</v>
      </c>
      <c r="O773" t="str">
        <f t="shared" si="25"/>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INDEX(products!$A$1:$G$49,MATCH($D774,products!$A$1:$A$49,0),MATCH(orders!I$1,products!$A$1:$G$1,0))</f>
        <v>Exc</v>
      </c>
      <c r="J774" t="str">
        <f>INDEX(products!$A$1:$G$49,MATCH($D774,products!$A$1:$A$49,0),MATCH(orders!J$1,products!$A$1:$G$1,0))</f>
        <v>M</v>
      </c>
      <c r="K774" s="4">
        <f>INDEX(products!$A$1:$G$49,MATCH($D774,products!$A$1:$A$49,0),MATCH(orders!K$1,products!$A$1:$G$1,0))</f>
        <v>1</v>
      </c>
      <c r="L774" s="5">
        <f>INDEX(products!$A$1:$G$49,MATCH($D774,products!$A$1:$A$49,0),MATCH(orders!L$1,products!$A$1:$G$1,0))</f>
        <v>13.75</v>
      </c>
      <c r="M774" s="5">
        <f t="shared" si="24"/>
        <v>82.5</v>
      </c>
      <c r="N774" t="str">
        <f>IF(I774="Rob","Robusta",IF(I774="Exc","Excelsa",IF(I774="Ara","Arabica",IF(I774="Lib","Liberica",""))))</f>
        <v>Excelsa</v>
      </c>
      <c r="O774" t="str">
        <f t="shared" si="25"/>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INDEX(products!$A$1:$G$49,MATCH($D775,products!$A$1:$A$49,0),MATCH(orders!I$1,products!$A$1:$G$1,0))</f>
        <v>Lib</v>
      </c>
      <c r="J775" t="str">
        <f>INDEX(products!$A$1:$G$49,MATCH($D775,products!$A$1:$A$49,0),MATCH(orders!J$1,products!$A$1:$G$1,0))</f>
        <v>M</v>
      </c>
      <c r="K775" s="4">
        <f>INDEX(products!$A$1:$G$49,MATCH($D775,products!$A$1:$A$49,0),MATCH(orders!K$1,products!$A$1:$G$1,0))</f>
        <v>0.2</v>
      </c>
      <c r="L775" s="5">
        <f>INDEX(products!$A$1:$G$49,MATCH($D775,products!$A$1:$A$49,0),MATCH(orders!L$1,products!$A$1:$G$1,0))</f>
        <v>4.3650000000000002</v>
      </c>
      <c r="M775" s="5">
        <f t="shared" si="24"/>
        <v>8.73</v>
      </c>
      <c r="N775" t="str">
        <f>IF(I775="Rob","Robusta",IF(I775="Exc","Excelsa",IF(I775="Ara","Arabica",IF(I775="Lib","Liberica",""))))</f>
        <v>Liberica</v>
      </c>
      <c r="O775" t="str">
        <f t="shared" si="25"/>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INDEX(products!$A$1:$G$49,MATCH($D776,products!$A$1:$A$49,0),MATCH(orders!I$1,products!$A$1:$G$1,0))</f>
        <v>Rob</v>
      </c>
      <c r="J776" t="str">
        <f>INDEX(products!$A$1:$G$49,MATCH($D776,products!$A$1:$A$49,0),MATCH(orders!J$1,products!$A$1:$G$1,0))</f>
        <v>M</v>
      </c>
      <c r="K776" s="4">
        <f>INDEX(products!$A$1:$G$49,MATCH($D776,products!$A$1:$A$49,0),MATCH(orders!K$1,products!$A$1:$G$1,0))</f>
        <v>1</v>
      </c>
      <c r="L776" s="5">
        <f>INDEX(products!$A$1:$G$49,MATCH($D776,products!$A$1:$A$49,0),MATCH(orders!L$1,products!$A$1:$G$1,0))</f>
        <v>9.9499999999999993</v>
      </c>
      <c r="M776" s="5">
        <f t="shared" si="24"/>
        <v>19.899999999999999</v>
      </c>
      <c r="N776" t="str">
        <f>IF(I776="Rob","Robusta",IF(I776="Exc","Excelsa",IF(I776="Ara","Arabica",IF(I776="Lib","Liberica",""))))</f>
        <v>Robusta</v>
      </c>
      <c r="O776" t="str">
        <f t="shared" si="25"/>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INDEX(products!$A$1:$G$49,MATCH($D777,products!$A$1:$A$49,0),MATCH(orders!I$1,products!$A$1:$G$1,0))</f>
        <v>Exc</v>
      </c>
      <c r="J777" t="str">
        <f>INDEX(products!$A$1:$G$49,MATCH($D777,products!$A$1:$A$49,0),MATCH(orders!J$1,products!$A$1:$G$1,0))</f>
        <v>L</v>
      </c>
      <c r="K777" s="4">
        <f>INDEX(products!$A$1:$G$49,MATCH($D777,products!$A$1:$A$49,0),MATCH(orders!K$1,products!$A$1:$G$1,0))</f>
        <v>0.5</v>
      </c>
      <c r="L777" s="5">
        <f>INDEX(products!$A$1:$G$49,MATCH($D777,products!$A$1:$A$49,0),MATCH(orders!L$1,products!$A$1:$G$1,0))</f>
        <v>8.91</v>
      </c>
      <c r="M777" s="5">
        <f t="shared" si="24"/>
        <v>17.82</v>
      </c>
      <c r="N777" t="str">
        <f>IF(I777="Rob","Robusta",IF(I777="Exc","Excelsa",IF(I777="Ara","Arabica",IF(I777="Lib","Liberica",""))))</f>
        <v>Excelsa</v>
      </c>
      <c r="O777" t="str">
        <f t="shared" si="25"/>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INDEX(products!$A$1:$G$49,MATCH($D778,products!$A$1:$A$49,0),MATCH(orders!I$1,products!$A$1:$G$1,0))</f>
        <v>Ara</v>
      </c>
      <c r="J778" t="str">
        <f>INDEX(products!$A$1:$G$49,MATCH($D778,products!$A$1:$A$49,0),MATCH(orders!J$1,products!$A$1:$G$1,0))</f>
        <v>M</v>
      </c>
      <c r="K778" s="4">
        <f>INDEX(products!$A$1:$G$49,MATCH($D778,products!$A$1:$A$49,0),MATCH(orders!K$1,products!$A$1:$G$1,0))</f>
        <v>0.5</v>
      </c>
      <c r="L778" s="5">
        <f>INDEX(products!$A$1:$G$49,MATCH($D778,products!$A$1:$A$49,0),MATCH(orders!L$1,products!$A$1:$G$1,0))</f>
        <v>6.75</v>
      </c>
      <c r="M778" s="5">
        <f t="shared" si="24"/>
        <v>20.25</v>
      </c>
      <c r="N778" t="str">
        <f>IF(I778="Rob","Robusta",IF(I778="Exc","Excelsa",IF(I778="Ara","Arabica",IF(I778="Lib","Liberica",""))))</f>
        <v>Arabica</v>
      </c>
      <c r="O778" t="str">
        <f t="shared" si="25"/>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INDEX(products!$A$1:$G$49,MATCH($D779,products!$A$1:$A$49,0),MATCH(orders!I$1,products!$A$1:$G$1,0))</f>
        <v>Ara</v>
      </c>
      <c r="J779" t="str">
        <f>INDEX(products!$A$1:$G$49,MATCH($D779,products!$A$1:$A$49,0),MATCH(orders!J$1,products!$A$1:$G$1,0))</f>
        <v>L</v>
      </c>
      <c r="K779" s="4">
        <f>INDEX(products!$A$1:$G$49,MATCH($D779,products!$A$1:$A$49,0),MATCH(orders!K$1,products!$A$1:$G$1,0))</f>
        <v>2.5</v>
      </c>
      <c r="L779" s="5">
        <f>INDEX(products!$A$1:$G$49,MATCH($D779,products!$A$1:$A$49,0),MATCH(orders!L$1,products!$A$1:$G$1,0))</f>
        <v>29.784999999999997</v>
      </c>
      <c r="M779" s="5">
        <f t="shared" si="24"/>
        <v>59.569999999999993</v>
      </c>
      <c r="N779" t="str">
        <f>IF(I779="Rob","Robusta",IF(I779="Exc","Excelsa",IF(I779="Ara","Arabica",IF(I779="Lib","Liberica",""))))</f>
        <v>Arabica</v>
      </c>
      <c r="O779" t="str">
        <f t="shared" si="25"/>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INDEX(products!$A$1:$G$49,MATCH($D780,products!$A$1:$A$49,0),MATCH(orders!I$1,products!$A$1:$G$1,0))</f>
        <v>Lib</v>
      </c>
      <c r="J780" t="str">
        <f>INDEX(products!$A$1:$G$49,MATCH($D780,products!$A$1:$A$49,0),MATCH(orders!J$1,products!$A$1:$G$1,0))</f>
        <v>L</v>
      </c>
      <c r="K780" s="4">
        <f>INDEX(products!$A$1:$G$49,MATCH($D780,products!$A$1:$A$49,0),MATCH(orders!K$1,products!$A$1:$G$1,0))</f>
        <v>0.5</v>
      </c>
      <c r="L780" s="5">
        <f>INDEX(products!$A$1:$G$49,MATCH($D780,products!$A$1:$A$49,0),MATCH(orders!L$1,products!$A$1:$G$1,0))</f>
        <v>9.51</v>
      </c>
      <c r="M780" s="5">
        <f t="shared" si="24"/>
        <v>19.02</v>
      </c>
      <c r="N780" t="str">
        <f>IF(I780="Rob","Robusta",IF(I780="Exc","Excelsa",IF(I780="Ara","Arabica",IF(I780="Lib","Liberica",""))))</f>
        <v>Liberica</v>
      </c>
      <c r="O780" t="str">
        <f t="shared" si="25"/>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INDEX(products!$A$1:$G$49,MATCH($D781,products!$A$1:$A$49,0),MATCH(orders!I$1,products!$A$1:$G$1,0))</f>
        <v>Lib</v>
      </c>
      <c r="J781" t="str">
        <f>INDEX(products!$A$1:$G$49,MATCH($D781,products!$A$1:$A$49,0),MATCH(orders!J$1,products!$A$1:$G$1,0))</f>
        <v>D</v>
      </c>
      <c r="K781" s="4">
        <f>INDEX(products!$A$1:$G$49,MATCH($D781,products!$A$1:$A$49,0),MATCH(orders!K$1,products!$A$1:$G$1,0))</f>
        <v>1</v>
      </c>
      <c r="L781" s="5">
        <f>INDEX(products!$A$1:$G$49,MATCH($D781,products!$A$1:$A$49,0),MATCH(orders!L$1,products!$A$1:$G$1,0))</f>
        <v>12.95</v>
      </c>
      <c r="M781" s="5">
        <f t="shared" si="24"/>
        <v>77.699999999999989</v>
      </c>
      <c r="N781" t="str">
        <f>IF(I781="Rob","Robusta",IF(I781="Exc","Excelsa",IF(I781="Ara","Arabica",IF(I781="Lib","Liberica",""))))</f>
        <v>Liberica</v>
      </c>
      <c r="O781" t="str">
        <f t="shared" si="25"/>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INDEX(products!$A$1:$G$49,MATCH($D782,products!$A$1:$A$49,0),MATCH(orders!I$1,products!$A$1:$G$1,0))</f>
        <v>Exc</v>
      </c>
      <c r="J782" t="str">
        <f>INDEX(products!$A$1:$G$49,MATCH($D782,products!$A$1:$A$49,0),MATCH(orders!J$1,products!$A$1:$G$1,0))</f>
        <v>M</v>
      </c>
      <c r="K782" s="4">
        <f>INDEX(products!$A$1:$G$49,MATCH($D782,products!$A$1:$A$49,0),MATCH(orders!K$1,products!$A$1:$G$1,0))</f>
        <v>1</v>
      </c>
      <c r="L782" s="5">
        <f>INDEX(products!$A$1:$G$49,MATCH($D782,products!$A$1:$A$49,0),MATCH(orders!L$1,products!$A$1:$G$1,0))</f>
        <v>13.75</v>
      </c>
      <c r="M782" s="5">
        <f t="shared" si="24"/>
        <v>41.25</v>
      </c>
      <c r="N782" t="str">
        <f>IF(I782="Rob","Robusta",IF(I782="Exc","Excelsa",IF(I782="Ara","Arabica",IF(I782="Lib","Liberica",""))))</f>
        <v>Excelsa</v>
      </c>
      <c r="O782" t="str">
        <f t="shared" si="25"/>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INDEX(products!$A$1:$G$49,MATCH($D783,products!$A$1:$A$49,0),MATCH(orders!I$1,products!$A$1:$G$1,0))</f>
        <v>Lib</v>
      </c>
      <c r="J783" t="str">
        <f>INDEX(products!$A$1:$G$49,MATCH($D783,products!$A$1:$A$49,0),MATCH(orders!J$1,products!$A$1:$G$1,0))</f>
        <v>L</v>
      </c>
      <c r="K783" s="4">
        <f>INDEX(products!$A$1:$G$49,MATCH($D783,products!$A$1:$A$49,0),MATCH(orders!K$1,products!$A$1:$G$1,0))</f>
        <v>2.5</v>
      </c>
      <c r="L783" s="5">
        <f>INDEX(products!$A$1:$G$49,MATCH($D783,products!$A$1:$A$49,0),MATCH(orders!L$1,products!$A$1:$G$1,0))</f>
        <v>36.454999999999998</v>
      </c>
      <c r="M783" s="5">
        <f t="shared" si="24"/>
        <v>145.82</v>
      </c>
      <c r="N783" t="str">
        <f>IF(I783="Rob","Robusta",IF(I783="Exc","Excelsa",IF(I783="Ara","Arabica",IF(I783="Lib","Liberica",""))))</f>
        <v>Liberica</v>
      </c>
      <c r="O783" t="str">
        <f t="shared" si="25"/>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INDEX(products!$A$1:$G$49,MATCH($D784,products!$A$1:$A$49,0),MATCH(orders!I$1,products!$A$1:$G$1,0))</f>
        <v>Exc</v>
      </c>
      <c r="J784" t="str">
        <f>INDEX(products!$A$1:$G$49,MATCH($D784,products!$A$1:$A$49,0),MATCH(orders!J$1,products!$A$1:$G$1,0))</f>
        <v>L</v>
      </c>
      <c r="K784" s="4">
        <f>INDEX(products!$A$1:$G$49,MATCH($D784,products!$A$1:$A$49,0),MATCH(orders!K$1,products!$A$1:$G$1,0))</f>
        <v>0.2</v>
      </c>
      <c r="L784" s="5">
        <f>INDEX(products!$A$1:$G$49,MATCH($D784,products!$A$1:$A$49,0),MATCH(orders!L$1,products!$A$1:$G$1,0))</f>
        <v>4.4550000000000001</v>
      </c>
      <c r="M784" s="5">
        <f t="shared" si="24"/>
        <v>26.73</v>
      </c>
      <c r="N784" t="str">
        <f>IF(I784="Rob","Robusta",IF(I784="Exc","Excelsa",IF(I784="Ara","Arabica",IF(I784="Lib","Liberica",""))))</f>
        <v>Excelsa</v>
      </c>
      <c r="O784" t="str">
        <f t="shared" si="25"/>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INDEX(products!$A$1:$G$49,MATCH($D785,products!$A$1:$A$49,0),MATCH(orders!I$1,products!$A$1:$G$1,0))</f>
        <v>Lib</v>
      </c>
      <c r="J785" t="str">
        <f>INDEX(products!$A$1:$G$49,MATCH($D785,products!$A$1:$A$49,0),MATCH(orders!J$1,products!$A$1:$G$1,0))</f>
        <v>M</v>
      </c>
      <c r="K785" s="4">
        <f>INDEX(products!$A$1:$G$49,MATCH($D785,products!$A$1:$A$49,0),MATCH(orders!K$1,products!$A$1:$G$1,0))</f>
        <v>0.5</v>
      </c>
      <c r="L785" s="5">
        <f>INDEX(products!$A$1:$G$49,MATCH($D785,products!$A$1:$A$49,0),MATCH(orders!L$1,products!$A$1:$G$1,0))</f>
        <v>8.73</v>
      </c>
      <c r="M785" s="5">
        <f t="shared" si="24"/>
        <v>43.650000000000006</v>
      </c>
      <c r="N785" t="str">
        <f>IF(I785="Rob","Robusta",IF(I785="Exc","Excelsa",IF(I785="Ara","Arabica",IF(I785="Lib","Liberica",""))))</f>
        <v>Liberica</v>
      </c>
      <c r="O785" t="str">
        <f t="shared" si="25"/>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INDEX(products!$A$1:$G$49,MATCH($D786,products!$A$1:$A$49,0),MATCH(orders!I$1,products!$A$1:$G$1,0))</f>
        <v>Lib</v>
      </c>
      <c r="J786" t="str">
        <f>INDEX(products!$A$1:$G$49,MATCH($D786,products!$A$1:$A$49,0),MATCH(orders!J$1,products!$A$1:$G$1,0))</f>
        <v>L</v>
      </c>
      <c r="K786" s="4">
        <f>INDEX(products!$A$1:$G$49,MATCH($D786,products!$A$1:$A$49,0),MATCH(orders!K$1,products!$A$1:$G$1,0))</f>
        <v>1</v>
      </c>
      <c r="L786" s="5">
        <f>INDEX(products!$A$1:$G$49,MATCH($D786,products!$A$1:$A$49,0),MATCH(orders!L$1,products!$A$1:$G$1,0))</f>
        <v>15.85</v>
      </c>
      <c r="M786" s="5">
        <f t="shared" si="24"/>
        <v>31.7</v>
      </c>
      <c r="N786" t="str">
        <f>IF(I786="Rob","Robusta",IF(I786="Exc","Excelsa",IF(I786="Ara","Arabica",IF(I786="Lib","Liberica",""))))</f>
        <v>Liberica</v>
      </c>
      <c r="O786" t="str">
        <f t="shared" si="25"/>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INDEX(products!$A$1:$G$49,MATCH($D787,products!$A$1:$A$49,0),MATCH(orders!I$1,products!$A$1:$G$1,0))</f>
        <v>Ara</v>
      </c>
      <c r="J787" t="str">
        <f>INDEX(products!$A$1:$G$49,MATCH($D787,products!$A$1:$A$49,0),MATCH(orders!J$1,products!$A$1:$G$1,0))</f>
        <v>D</v>
      </c>
      <c r="K787" s="4">
        <f>INDEX(products!$A$1:$G$49,MATCH($D787,products!$A$1:$A$49,0),MATCH(orders!K$1,products!$A$1:$G$1,0))</f>
        <v>2.5</v>
      </c>
      <c r="L787" s="5">
        <f>INDEX(products!$A$1:$G$49,MATCH($D787,products!$A$1:$A$49,0),MATCH(orders!L$1,products!$A$1:$G$1,0))</f>
        <v>22.884999999999998</v>
      </c>
      <c r="M787" s="5">
        <f t="shared" si="24"/>
        <v>22.884999999999998</v>
      </c>
      <c r="N787" t="str">
        <f>IF(I787="Rob","Robusta",IF(I787="Exc","Excelsa",IF(I787="Ara","Arabica",IF(I787="Lib","Liberica",""))))</f>
        <v>Arabica</v>
      </c>
      <c r="O787" t="str">
        <f t="shared" si="25"/>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INDEX(products!$A$1:$G$49,MATCH($D788,products!$A$1:$A$49,0),MATCH(orders!I$1,products!$A$1:$G$1,0))</f>
        <v>Exc</v>
      </c>
      <c r="J788" t="str">
        <f>INDEX(products!$A$1:$G$49,MATCH($D788,products!$A$1:$A$49,0),MATCH(orders!J$1,products!$A$1:$G$1,0))</f>
        <v>D</v>
      </c>
      <c r="K788" s="4">
        <f>INDEX(products!$A$1:$G$49,MATCH($D788,products!$A$1:$A$49,0),MATCH(orders!K$1,products!$A$1:$G$1,0))</f>
        <v>2.5</v>
      </c>
      <c r="L788" s="5">
        <f>INDEX(products!$A$1:$G$49,MATCH($D788,products!$A$1:$A$49,0),MATCH(orders!L$1,products!$A$1:$G$1,0))</f>
        <v>27.945</v>
      </c>
      <c r="M788" s="5">
        <f t="shared" si="24"/>
        <v>27.945</v>
      </c>
      <c r="N788" t="str">
        <f>IF(I788="Rob","Robusta",IF(I788="Exc","Excelsa",IF(I788="Ara","Arabica",IF(I788="Lib","Liberica",""))))</f>
        <v>Excelsa</v>
      </c>
      <c r="O788" t="str">
        <f t="shared" si="25"/>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INDEX(products!$A$1:$G$49,MATCH($D789,products!$A$1:$A$49,0),MATCH(orders!I$1,products!$A$1:$G$1,0))</f>
        <v>Exc</v>
      </c>
      <c r="J789" t="str">
        <f>INDEX(products!$A$1:$G$49,MATCH($D789,products!$A$1:$A$49,0),MATCH(orders!J$1,products!$A$1:$G$1,0))</f>
        <v>M</v>
      </c>
      <c r="K789" s="4">
        <f>INDEX(products!$A$1:$G$49,MATCH($D789,products!$A$1:$A$49,0),MATCH(orders!K$1,products!$A$1:$G$1,0))</f>
        <v>1</v>
      </c>
      <c r="L789" s="5">
        <f>INDEX(products!$A$1:$G$49,MATCH($D789,products!$A$1:$A$49,0),MATCH(orders!L$1,products!$A$1:$G$1,0))</f>
        <v>13.75</v>
      </c>
      <c r="M789" s="5">
        <f t="shared" si="24"/>
        <v>82.5</v>
      </c>
      <c r="N789" t="str">
        <f>IF(I789="Rob","Robusta",IF(I789="Exc","Excelsa",IF(I789="Ara","Arabica",IF(I789="Lib","Liberica",""))))</f>
        <v>Excelsa</v>
      </c>
      <c r="O789" t="str">
        <f t="shared" si="25"/>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INDEX(products!$A$1:$G$49,MATCH($D790,products!$A$1:$A$49,0),MATCH(orders!I$1,products!$A$1:$G$1,0))</f>
        <v>Rob</v>
      </c>
      <c r="J790" t="str">
        <f>INDEX(products!$A$1:$G$49,MATCH($D790,products!$A$1:$A$49,0),MATCH(orders!J$1,products!$A$1:$G$1,0))</f>
        <v>M</v>
      </c>
      <c r="K790" s="4">
        <f>INDEX(products!$A$1:$G$49,MATCH($D790,products!$A$1:$A$49,0),MATCH(orders!K$1,products!$A$1:$G$1,0))</f>
        <v>2.5</v>
      </c>
      <c r="L790" s="5">
        <f>INDEX(products!$A$1:$G$49,MATCH($D790,products!$A$1:$A$49,0),MATCH(orders!L$1,products!$A$1:$G$1,0))</f>
        <v>22.884999999999998</v>
      </c>
      <c r="M790" s="5">
        <f t="shared" si="24"/>
        <v>45.769999999999996</v>
      </c>
      <c r="N790" t="str">
        <f>IF(I790="Rob","Robusta",IF(I790="Exc","Excelsa",IF(I790="Ara","Arabica",IF(I790="Lib","Liberica",""))))</f>
        <v>Robusta</v>
      </c>
      <c r="O790" t="str">
        <f t="shared" si="25"/>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INDEX(products!$A$1:$G$49,MATCH($D791,products!$A$1:$A$49,0),MATCH(orders!I$1,products!$A$1:$G$1,0))</f>
        <v>Ara</v>
      </c>
      <c r="J791" t="str">
        <f>INDEX(products!$A$1:$G$49,MATCH($D791,products!$A$1:$A$49,0),MATCH(orders!J$1,products!$A$1:$G$1,0))</f>
        <v>L</v>
      </c>
      <c r="K791" s="4">
        <f>INDEX(products!$A$1:$G$49,MATCH($D791,products!$A$1:$A$49,0),MATCH(orders!K$1,products!$A$1:$G$1,0))</f>
        <v>1</v>
      </c>
      <c r="L791" s="5">
        <f>INDEX(products!$A$1:$G$49,MATCH($D791,products!$A$1:$A$49,0),MATCH(orders!L$1,products!$A$1:$G$1,0))</f>
        <v>12.95</v>
      </c>
      <c r="M791" s="5">
        <f t="shared" si="24"/>
        <v>77.699999999999989</v>
      </c>
      <c r="N791" t="str">
        <f>IF(I791="Rob","Robusta",IF(I791="Exc","Excelsa",IF(I791="Ara","Arabica",IF(I791="Lib","Liberica",""))))</f>
        <v>Arabica</v>
      </c>
      <c r="O791" t="str">
        <f t="shared" si="25"/>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INDEX(products!$A$1:$G$49,MATCH($D792,products!$A$1:$A$49,0),MATCH(orders!I$1,products!$A$1:$G$1,0))</f>
        <v>Ara</v>
      </c>
      <c r="J792" t="str">
        <f>INDEX(products!$A$1:$G$49,MATCH($D792,products!$A$1:$A$49,0),MATCH(orders!J$1,products!$A$1:$G$1,0))</f>
        <v>L</v>
      </c>
      <c r="K792" s="4">
        <f>INDEX(products!$A$1:$G$49,MATCH($D792,products!$A$1:$A$49,0),MATCH(orders!K$1,products!$A$1:$G$1,0))</f>
        <v>0.5</v>
      </c>
      <c r="L792" s="5">
        <f>INDEX(products!$A$1:$G$49,MATCH($D792,products!$A$1:$A$49,0),MATCH(orders!L$1,products!$A$1:$G$1,0))</f>
        <v>7.77</v>
      </c>
      <c r="M792" s="5">
        <f t="shared" si="24"/>
        <v>23.31</v>
      </c>
      <c r="N792" t="str">
        <f>IF(I792="Rob","Robusta",IF(I792="Exc","Excelsa",IF(I792="Ara","Arabica",IF(I792="Lib","Liberica",""))))</f>
        <v>Arabica</v>
      </c>
      <c r="O792" t="str">
        <f t="shared" si="25"/>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INDEX(products!$A$1:$G$49,MATCH($D793,products!$A$1:$A$49,0),MATCH(orders!I$1,products!$A$1:$G$1,0))</f>
        <v>Lib</v>
      </c>
      <c r="J793" t="str">
        <f>INDEX(products!$A$1:$G$49,MATCH($D793,products!$A$1:$A$49,0),MATCH(orders!J$1,products!$A$1:$G$1,0))</f>
        <v>L</v>
      </c>
      <c r="K793" s="4">
        <f>INDEX(products!$A$1:$G$49,MATCH($D793,products!$A$1:$A$49,0),MATCH(orders!K$1,products!$A$1:$G$1,0))</f>
        <v>0.2</v>
      </c>
      <c r="L793" s="5">
        <f>INDEX(products!$A$1:$G$49,MATCH($D793,products!$A$1:$A$49,0),MATCH(orders!L$1,products!$A$1:$G$1,0))</f>
        <v>4.7549999999999999</v>
      </c>
      <c r="M793" s="5">
        <f t="shared" si="24"/>
        <v>23.774999999999999</v>
      </c>
      <c r="N793" t="str">
        <f>IF(I793="Rob","Robusta",IF(I793="Exc","Excelsa",IF(I793="Ara","Arabica",IF(I793="Lib","Liberica",""))))</f>
        <v>Liberica</v>
      </c>
      <c r="O793" t="str">
        <f t="shared" si="25"/>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INDEX(products!$A$1:$G$49,MATCH($D794,products!$A$1:$A$49,0),MATCH(orders!I$1,products!$A$1:$G$1,0))</f>
        <v>Lib</v>
      </c>
      <c r="J794" t="str">
        <f>INDEX(products!$A$1:$G$49,MATCH($D794,products!$A$1:$A$49,0),MATCH(orders!J$1,products!$A$1:$G$1,0))</f>
        <v>M</v>
      </c>
      <c r="K794" s="4">
        <f>INDEX(products!$A$1:$G$49,MATCH($D794,products!$A$1:$A$49,0),MATCH(orders!K$1,products!$A$1:$G$1,0))</f>
        <v>0.5</v>
      </c>
      <c r="L794" s="5">
        <f>INDEX(products!$A$1:$G$49,MATCH($D794,products!$A$1:$A$49,0),MATCH(orders!L$1,products!$A$1:$G$1,0))</f>
        <v>8.73</v>
      </c>
      <c r="M794" s="5">
        <f t="shared" si="24"/>
        <v>52.38</v>
      </c>
      <c r="N794" t="str">
        <f>IF(I794="Rob","Robusta",IF(I794="Exc","Excelsa",IF(I794="Ara","Arabica",IF(I794="Lib","Liberica",""))))</f>
        <v>Liberica</v>
      </c>
      <c r="O794" t="str">
        <f t="shared" si="25"/>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INDEX(products!$A$1:$G$49,MATCH($D795,products!$A$1:$A$49,0),MATCH(orders!I$1,products!$A$1:$G$1,0))</f>
        <v>Rob</v>
      </c>
      <c r="J795" t="str">
        <f>INDEX(products!$A$1:$G$49,MATCH($D795,products!$A$1:$A$49,0),MATCH(orders!J$1,products!$A$1:$G$1,0))</f>
        <v>L</v>
      </c>
      <c r="K795" s="4">
        <f>INDEX(products!$A$1:$G$49,MATCH($D795,products!$A$1:$A$49,0),MATCH(orders!K$1,products!$A$1:$G$1,0))</f>
        <v>0.2</v>
      </c>
      <c r="L795" s="5">
        <f>INDEX(products!$A$1:$G$49,MATCH($D795,products!$A$1:$A$49,0),MATCH(orders!L$1,products!$A$1:$G$1,0))</f>
        <v>3.5849999999999995</v>
      </c>
      <c r="M795" s="5">
        <f t="shared" si="24"/>
        <v>17.924999999999997</v>
      </c>
      <c r="N795" t="str">
        <f>IF(I795="Rob","Robusta",IF(I795="Exc","Excelsa",IF(I795="Ara","Arabica",IF(I795="Lib","Liberica",""))))</f>
        <v>Robusta</v>
      </c>
      <c r="O795" t="str">
        <f t="shared" si="25"/>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INDEX(products!$A$1:$G$49,MATCH($D796,products!$A$1:$A$49,0),MATCH(orders!I$1,products!$A$1:$G$1,0))</f>
        <v>Ara</v>
      </c>
      <c r="J796" t="str">
        <f>INDEX(products!$A$1:$G$49,MATCH($D796,products!$A$1:$A$49,0),MATCH(orders!J$1,products!$A$1:$G$1,0))</f>
        <v>L</v>
      </c>
      <c r="K796" s="4">
        <f>INDEX(products!$A$1:$G$49,MATCH($D796,products!$A$1:$A$49,0),MATCH(orders!K$1,products!$A$1:$G$1,0))</f>
        <v>2.5</v>
      </c>
      <c r="L796" s="5">
        <f>INDEX(products!$A$1:$G$49,MATCH($D796,products!$A$1:$A$49,0),MATCH(orders!L$1,products!$A$1:$G$1,0))</f>
        <v>29.784999999999997</v>
      </c>
      <c r="M796" s="5">
        <f t="shared" si="24"/>
        <v>148.92499999999998</v>
      </c>
      <c r="N796" t="str">
        <f>IF(I796="Rob","Robusta",IF(I796="Exc","Excelsa",IF(I796="Ara","Arabica",IF(I796="Lib","Liberica",""))))</f>
        <v>Arabica</v>
      </c>
      <c r="O796" t="str">
        <f t="shared" si="25"/>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INDEX(products!$A$1:$G$49,MATCH($D797,products!$A$1:$A$49,0),MATCH(orders!I$1,products!$A$1:$G$1,0))</f>
        <v>Rob</v>
      </c>
      <c r="J797" t="str">
        <f>INDEX(products!$A$1:$G$49,MATCH($D797,products!$A$1:$A$49,0),MATCH(orders!J$1,products!$A$1:$G$1,0))</f>
        <v>L</v>
      </c>
      <c r="K797" s="4">
        <f>INDEX(products!$A$1:$G$49,MATCH($D797,products!$A$1:$A$49,0),MATCH(orders!K$1,products!$A$1:$G$1,0))</f>
        <v>0.5</v>
      </c>
      <c r="L797" s="5">
        <f>INDEX(products!$A$1:$G$49,MATCH($D797,products!$A$1:$A$49,0),MATCH(orders!L$1,products!$A$1:$G$1,0))</f>
        <v>7.169999999999999</v>
      </c>
      <c r="M797" s="5">
        <f t="shared" si="24"/>
        <v>28.679999999999996</v>
      </c>
      <c r="N797" t="str">
        <f>IF(I797="Rob","Robusta",IF(I797="Exc","Excelsa",IF(I797="Ara","Arabica",IF(I797="Lib","Liberica",""))))</f>
        <v>Robusta</v>
      </c>
      <c r="O797" t="str">
        <f t="shared" si="25"/>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INDEX(products!$A$1:$G$49,MATCH($D798,products!$A$1:$A$49,0),MATCH(orders!I$1,products!$A$1:$G$1,0))</f>
        <v>Lib</v>
      </c>
      <c r="J798" t="str">
        <f>INDEX(products!$A$1:$G$49,MATCH($D798,products!$A$1:$A$49,0),MATCH(orders!J$1,products!$A$1:$G$1,0))</f>
        <v>L</v>
      </c>
      <c r="K798" s="4">
        <f>INDEX(products!$A$1:$G$49,MATCH($D798,products!$A$1:$A$49,0),MATCH(orders!K$1,products!$A$1:$G$1,0))</f>
        <v>0.5</v>
      </c>
      <c r="L798" s="5">
        <f>INDEX(products!$A$1:$G$49,MATCH($D798,products!$A$1:$A$49,0),MATCH(orders!L$1,products!$A$1:$G$1,0))</f>
        <v>9.51</v>
      </c>
      <c r="M798" s="5">
        <f t="shared" si="24"/>
        <v>9.51</v>
      </c>
      <c r="N798" t="str">
        <f>IF(I798="Rob","Robusta",IF(I798="Exc","Excelsa",IF(I798="Ara","Arabica",IF(I798="Lib","Liberica",""))))</f>
        <v>Liberica</v>
      </c>
      <c r="O798" t="str">
        <f t="shared" si="25"/>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INDEX(products!$A$1:$G$49,MATCH($D799,products!$A$1:$A$49,0),MATCH(orders!I$1,products!$A$1:$G$1,0))</f>
        <v>Ara</v>
      </c>
      <c r="J799" t="str">
        <f>INDEX(products!$A$1:$G$49,MATCH($D799,products!$A$1:$A$49,0),MATCH(orders!J$1,products!$A$1:$G$1,0))</f>
        <v>L</v>
      </c>
      <c r="K799" s="4">
        <f>INDEX(products!$A$1:$G$49,MATCH($D799,products!$A$1:$A$49,0),MATCH(orders!K$1,products!$A$1:$G$1,0))</f>
        <v>0.5</v>
      </c>
      <c r="L799" s="5">
        <f>INDEX(products!$A$1:$G$49,MATCH($D799,products!$A$1:$A$49,0),MATCH(orders!L$1,products!$A$1:$G$1,0))</f>
        <v>7.77</v>
      </c>
      <c r="M799" s="5">
        <f t="shared" si="24"/>
        <v>31.08</v>
      </c>
      <c r="N799" t="str">
        <f>IF(I799="Rob","Robusta",IF(I799="Exc","Excelsa",IF(I799="Ara","Arabica",IF(I799="Lib","Liberica",""))))</f>
        <v>Arabica</v>
      </c>
      <c r="O799" t="str">
        <f t="shared" si="25"/>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INDEX(products!$A$1:$G$49,MATCH($D800,products!$A$1:$A$49,0),MATCH(orders!I$1,products!$A$1:$G$1,0))</f>
        <v>Rob</v>
      </c>
      <c r="J800" t="str">
        <f>INDEX(products!$A$1:$G$49,MATCH($D800,products!$A$1:$A$49,0),MATCH(orders!J$1,products!$A$1:$G$1,0))</f>
        <v>D</v>
      </c>
      <c r="K800" s="4">
        <f>INDEX(products!$A$1:$G$49,MATCH($D800,products!$A$1:$A$49,0),MATCH(orders!K$1,products!$A$1:$G$1,0))</f>
        <v>0.2</v>
      </c>
      <c r="L800" s="5">
        <f>INDEX(products!$A$1:$G$49,MATCH($D800,products!$A$1:$A$49,0),MATCH(orders!L$1,products!$A$1:$G$1,0))</f>
        <v>2.6849999999999996</v>
      </c>
      <c r="M800" s="5">
        <f t="shared" si="24"/>
        <v>8.0549999999999997</v>
      </c>
      <c r="N800" t="str">
        <f>IF(I800="Rob","Robusta",IF(I800="Exc","Excelsa",IF(I800="Ara","Arabica",IF(I800="Lib","Liberica",""))))</f>
        <v>Robusta</v>
      </c>
      <c r="O800" t="str">
        <f t="shared" si="25"/>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INDEX(products!$A$1:$G$49,MATCH($D801,products!$A$1:$A$49,0),MATCH(orders!I$1,products!$A$1:$G$1,0))</f>
        <v>Exc</v>
      </c>
      <c r="J801" t="str">
        <f>INDEX(products!$A$1:$G$49,MATCH($D801,products!$A$1:$A$49,0),MATCH(orders!J$1,products!$A$1:$G$1,0))</f>
        <v>D</v>
      </c>
      <c r="K801" s="4">
        <f>INDEX(products!$A$1:$G$49,MATCH($D801,products!$A$1:$A$49,0),MATCH(orders!K$1,products!$A$1:$G$1,0))</f>
        <v>1</v>
      </c>
      <c r="L801" s="5">
        <f>INDEX(products!$A$1:$G$49,MATCH($D801,products!$A$1:$A$49,0),MATCH(orders!L$1,products!$A$1:$G$1,0))</f>
        <v>12.15</v>
      </c>
      <c r="M801" s="5">
        <f t="shared" si="24"/>
        <v>36.450000000000003</v>
      </c>
      <c r="N801" t="str">
        <f>IF(I801="Rob","Robusta",IF(I801="Exc","Excelsa",IF(I801="Ara","Arabica",IF(I801="Lib","Liberica",""))))</f>
        <v>Excelsa</v>
      </c>
      <c r="O801" t="str">
        <f t="shared" si="25"/>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INDEX(products!$A$1:$G$49,MATCH($D802,products!$A$1:$A$49,0),MATCH(orders!I$1,products!$A$1:$G$1,0))</f>
        <v>Rob</v>
      </c>
      <c r="J802" t="str">
        <f>INDEX(products!$A$1:$G$49,MATCH($D802,products!$A$1:$A$49,0),MATCH(orders!J$1,products!$A$1:$G$1,0))</f>
        <v>D</v>
      </c>
      <c r="K802" s="4">
        <f>INDEX(products!$A$1:$G$49,MATCH($D802,products!$A$1:$A$49,0),MATCH(orders!K$1,products!$A$1:$G$1,0))</f>
        <v>0.2</v>
      </c>
      <c r="L802" s="5">
        <f>INDEX(products!$A$1:$G$49,MATCH($D802,products!$A$1:$A$49,0),MATCH(orders!L$1,products!$A$1:$G$1,0))</f>
        <v>2.6849999999999996</v>
      </c>
      <c r="M802" s="5">
        <f t="shared" si="24"/>
        <v>16.11</v>
      </c>
      <c r="N802" t="str">
        <f>IF(I802="Rob","Robusta",IF(I802="Exc","Excelsa",IF(I802="Ara","Arabica",IF(I802="Lib","Liberica",""))))</f>
        <v>Robusta</v>
      </c>
      <c r="O802" t="str">
        <f t="shared" si="25"/>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INDEX(products!$A$1:$G$49,MATCH($D803,products!$A$1:$A$49,0),MATCH(orders!I$1,products!$A$1:$G$1,0))</f>
        <v>Rob</v>
      </c>
      <c r="J803" t="str">
        <f>INDEX(products!$A$1:$G$49,MATCH($D803,products!$A$1:$A$49,0),MATCH(orders!J$1,products!$A$1:$G$1,0))</f>
        <v>D</v>
      </c>
      <c r="K803" s="4">
        <f>INDEX(products!$A$1:$G$49,MATCH($D803,products!$A$1:$A$49,0),MATCH(orders!K$1,products!$A$1:$G$1,0))</f>
        <v>2.5</v>
      </c>
      <c r="L803" s="5">
        <f>INDEX(products!$A$1:$G$49,MATCH($D803,products!$A$1:$A$49,0),MATCH(orders!L$1,products!$A$1:$G$1,0))</f>
        <v>20.584999999999997</v>
      </c>
      <c r="M803" s="5">
        <f t="shared" si="24"/>
        <v>41.169999999999995</v>
      </c>
      <c r="N803" t="str">
        <f>IF(I803="Rob","Robusta",IF(I803="Exc","Excelsa",IF(I803="Ara","Arabica",IF(I803="Lib","Liberica",""))))</f>
        <v>Robusta</v>
      </c>
      <c r="O803" t="str">
        <f t="shared" si="25"/>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INDEX(products!$A$1:$G$49,MATCH($D804,products!$A$1:$A$49,0),MATCH(orders!I$1,products!$A$1:$G$1,0))</f>
        <v>Rob</v>
      </c>
      <c r="J804" t="str">
        <f>INDEX(products!$A$1:$G$49,MATCH($D804,products!$A$1:$A$49,0),MATCH(orders!J$1,products!$A$1:$G$1,0))</f>
        <v>D</v>
      </c>
      <c r="K804" s="4">
        <f>INDEX(products!$A$1:$G$49,MATCH($D804,products!$A$1:$A$49,0),MATCH(orders!K$1,products!$A$1:$G$1,0))</f>
        <v>0.2</v>
      </c>
      <c r="L804" s="5">
        <f>INDEX(products!$A$1:$G$49,MATCH($D804,products!$A$1:$A$49,0),MATCH(orders!L$1,products!$A$1:$G$1,0))</f>
        <v>2.6849999999999996</v>
      </c>
      <c r="M804" s="5">
        <f t="shared" si="24"/>
        <v>10.739999999999998</v>
      </c>
      <c r="N804" t="str">
        <f>IF(I804="Rob","Robusta",IF(I804="Exc","Excelsa",IF(I804="Ara","Arabica",IF(I804="Lib","Liberica",""))))</f>
        <v>Robusta</v>
      </c>
      <c r="O804" t="str">
        <f t="shared" si="25"/>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INDEX(products!$A$1:$G$49,MATCH($D805,products!$A$1:$A$49,0),MATCH(orders!I$1,products!$A$1:$G$1,0))</f>
        <v>Exc</v>
      </c>
      <c r="J805" t="str">
        <f>INDEX(products!$A$1:$G$49,MATCH($D805,products!$A$1:$A$49,0),MATCH(orders!J$1,products!$A$1:$G$1,0))</f>
        <v>M</v>
      </c>
      <c r="K805" s="4">
        <f>INDEX(products!$A$1:$G$49,MATCH($D805,products!$A$1:$A$49,0),MATCH(orders!K$1,products!$A$1:$G$1,0))</f>
        <v>2.5</v>
      </c>
      <c r="L805" s="5">
        <f>INDEX(products!$A$1:$G$49,MATCH($D805,products!$A$1:$A$49,0),MATCH(orders!L$1,products!$A$1:$G$1,0))</f>
        <v>31.624999999999996</v>
      </c>
      <c r="M805" s="5">
        <f t="shared" si="24"/>
        <v>126.49999999999999</v>
      </c>
      <c r="N805" t="str">
        <f>IF(I805="Rob","Robusta",IF(I805="Exc","Excelsa",IF(I805="Ara","Arabica",IF(I805="Lib","Liberica",""))))</f>
        <v>Excelsa</v>
      </c>
      <c r="O805" t="str">
        <f t="shared" si="25"/>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INDEX(products!$A$1:$G$49,MATCH($D806,products!$A$1:$A$49,0),MATCH(orders!I$1,products!$A$1:$G$1,0))</f>
        <v>Rob</v>
      </c>
      <c r="J806" t="str">
        <f>INDEX(products!$A$1:$G$49,MATCH($D806,products!$A$1:$A$49,0),MATCH(orders!J$1,products!$A$1:$G$1,0))</f>
        <v>L</v>
      </c>
      <c r="K806" s="4">
        <f>INDEX(products!$A$1:$G$49,MATCH($D806,products!$A$1:$A$49,0),MATCH(orders!K$1,products!$A$1:$G$1,0))</f>
        <v>1</v>
      </c>
      <c r="L806" s="5">
        <f>INDEX(products!$A$1:$G$49,MATCH($D806,products!$A$1:$A$49,0),MATCH(orders!L$1,products!$A$1:$G$1,0))</f>
        <v>11.95</v>
      </c>
      <c r="M806" s="5">
        <f t="shared" si="24"/>
        <v>23.9</v>
      </c>
      <c r="N806" t="str">
        <f>IF(I806="Rob","Robusta",IF(I806="Exc","Excelsa",IF(I806="Ara","Arabica",IF(I806="Lib","Liberica",""))))</f>
        <v>Robusta</v>
      </c>
      <c r="O806" t="str">
        <f t="shared" si="25"/>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INDEX(products!$A$1:$G$49,MATCH($D807,products!$A$1:$A$49,0),MATCH(orders!I$1,products!$A$1:$G$1,0))</f>
        <v>Rob</v>
      </c>
      <c r="J807" t="str">
        <f>INDEX(products!$A$1:$G$49,MATCH($D807,products!$A$1:$A$49,0),MATCH(orders!J$1,products!$A$1:$G$1,0))</f>
        <v>M</v>
      </c>
      <c r="K807" s="4">
        <f>INDEX(products!$A$1:$G$49,MATCH($D807,products!$A$1:$A$49,0),MATCH(orders!K$1,products!$A$1:$G$1,0))</f>
        <v>0.5</v>
      </c>
      <c r="L807" s="5">
        <f>INDEX(products!$A$1:$G$49,MATCH($D807,products!$A$1:$A$49,0),MATCH(orders!L$1,products!$A$1:$G$1,0))</f>
        <v>5.97</v>
      </c>
      <c r="M807" s="5">
        <f t="shared" si="24"/>
        <v>5.97</v>
      </c>
      <c r="N807" t="str">
        <f>IF(I807="Rob","Robusta",IF(I807="Exc","Excelsa",IF(I807="Ara","Arabica",IF(I807="Lib","Liberica",""))))</f>
        <v>Robusta</v>
      </c>
      <c r="O807" t="str">
        <f t="shared" si="25"/>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INDEX(products!$A$1:$G$49,MATCH($D808,products!$A$1:$A$49,0),MATCH(orders!I$1,products!$A$1:$G$1,0))</f>
        <v>Lib</v>
      </c>
      <c r="J808" t="str">
        <f>INDEX(products!$A$1:$G$49,MATCH($D808,products!$A$1:$A$49,0),MATCH(orders!J$1,products!$A$1:$G$1,0))</f>
        <v>D</v>
      </c>
      <c r="K808" s="4">
        <f>INDEX(products!$A$1:$G$49,MATCH($D808,products!$A$1:$A$49,0),MATCH(orders!K$1,products!$A$1:$G$1,0))</f>
        <v>0.2</v>
      </c>
      <c r="L808" s="5">
        <f>INDEX(products!$A$1:$G$49,MATCH($D808,products!$A$1:$A$49,0),MATCH(orders!L$1,products!$A$1:$G$1,0))</f>
        <v>3.8849999999999998</v>
      </c>
      <c r="M808" s="5">
        <f t="shared" si="24"/>
        <v>7.77</v>
      </c>
      <c r="N808" t="str">
        <f>IF(I808="Rob","Robusta",IF(I808="Exc","Excelsa",IF(I808="Ara","Arabica",IF(I808="Lib","Liberica",""))))</f>
        <v>Liberica</v>
      </c>
      <c r="O808" t="str">
        <f t="shared" si="25"/>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INDEX(products!$A$1:$G$49,MATCH($D809,products!$A$1:$A$49,0),MATCH(orders!I$1,products!$A$1:$G$1,0))</f>
        <v>Lib</v>
      </c>
      <c r="J809" t="str">
        <f>INDEX(products!$A$1:$G$49,MATCH($D809,products!$A$1:$A$49,0),MATCH(orders!J$1,products!$A$1:$G$1,0))</f>
        <v>D</v>
      </c>
      <c r="K809" s="4">
        <f>INDEX(products!$A$1:$G$49,MATCH($D809,products!$A$1:$A$49,0),MATCH(orders!K$1,products!$A$1:$G$1,0))</f>
        <v>0.5</v>
      </c>
      <c r="L809" s="5">
        <f>INDEX(products!$A$1:$G$49,MATCH($D809,products!$A$1:$A$49,0),MATCH(orders!L$1,products!$A$1:$G$1,0))</f>
        <v>7.77</v>
      </c>
      <c r="M809" s="5">
        <f t="shared" si="24"/>
        <v>23.31</v>
      </c>
      <c r="N809" t="str">
        <f>IF(I809="Rob","Robusta",IF(I809="Exc","Excelsa",IF(I809="Ara","Arabica",IF(I809="Lib","Liberica",""))))</f>
        <v>Liberica</v>
      </c>
      <c r="O809" t="str">
        <f t="shared" si="25"/>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INDEX(products!$A$1:$G$49,MATCH($D810,products!$A$1:$A$49,0),MATCH(orders!I$1,products!$A$1:$G$1,0))</f>
        <v>Rob</v>
      </c>
      <c r="J810" t="str">
        <f>INDEX(products!$A$1:$G$49,MATCH($D810,products!$A$1:$A$49,0),MATCH(orders!J$1,products!$A$1:$G$1,0))</f>
        <v>L</v>
      </c>
      <c r="K810" s="4">
        <f>INDEX(products!$A$1:$G$49,MATCH($D810,products!$A$1:$A$49,0),MATCH(orders!K$1,products!$A$1:$G$1,0))</f>
        <v>2.5</v>
      </c>
      <c r="L810" s="5">
        <f>INDEX(products!$A$1:$G$49,MATCH($D810,products!$A$1:$A$49,0),MATCH(orders!L$1,products!$A$1:$G$1,0))</f>
        <v>27.484999999999996</v>
      </c>
      <c r="M810" s="5">
        <f t="shared" si="24"/>
        <v>137.42499999999998</v>
      </c>
      <c r="N810" t="str">
        <f>IF(I810="Rob","Robusta",IF(I810="Exc","Excelsa",IF(I810="Ara","Arabica",IF(I810="Lib","Liberica",""))))</f>
        <v>Robusta</v>
      </c>
      <c r="O810" t="str">
        <f t="shared" si="25"/>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INDEX(products!$A$1:$G$49,MATCH($D811,products!$A$1:$A$49,0),MATCH(orders!I$1,products!$A$1:$G$1,0))</f>
        <v>Rob</v>
      </c>
      <c r="J811" t="str">
        <f>INDEX(products!$A$1:$G$49,MATCH($D811,products!$A$1:$A$49,0),MATCH(orders!J$1,products!$A$1:$G$1,0))</f>
        <v>D</v>
      </c>
      <c r="K811" s="4">
        <f>INDEX(products!$A$1:$G$49,MATCH($D811,products!$A$1:$A$49,0),MATCH(orders!K$1,products!$A$1:$G$1,0))</f>
        <v>0.2</v>
      </c>
      <c r="L811" s="5">
        <f>INDEX(products!$A$1:$G$49,MATCH($D811,products!$A$1:$A$49,0),MATCH(orders!L$1,products!$A$1:$G$1,0))</f>
        <v>2.6849999999999996</v>
      </c>
      <c r="M811" s="5">
        <f t="shared" si="24"/>
        <v>8.0549999999999997</v>
      </c>
      <c r="N811" t="str">
        <f>IF(I811="Rob","Robusta",IF(I811="Exc","Excelsa",IF(I811="Ara","Arabica",IF(I811="Lib","Liberica",""))))</f>
        <v>Robusta</v>
      </c>
      <c r="O811" t="str">
        <f t="shared" si="25"/>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INDEX(products!$A$1:$G$49,MATCH($D812,products!$A$1:$A$49,0),MATCH(orders!I$1,products!$A$1:$G$1,0))</f>
        <v>Lib</v>
      </c>
      <c r="J812" t="str">
        <f>INDEX(products!$A$1:$G$49,MATCH($D812,products!$A$1:$A$49,0),MATCH(orders!J$1,products!$A$1:$G$1,0))</f>
        <v>L</v>
      </c>
      <c r="K812" s="4">
        <f>INDEX(products!$A$1:$G$49,MATCH($D812,products!$A$1:$A$49,0),MATCH(orders!K$1,products!$A$1:$G$1,0))</f>
        <v>0.5</v>
      </c>
      <c r="L812" s="5">
        <f>INDEX(products!$A$1:$G$49,MATCH($D812,products!$A$1:$A$49,0),MATCH(orders!L$1,products!$A$1:$G$1,0))</f>
        <v>9.51</v>
      </c>
      <c r="M812" s="5">
        <f t="shared" si="24"/>
        <v>28.53</v>
      </c>
      <c r="N812" t="str">
        <f>IF(I812="Rob","Robusta",IF(I812="Exc","Excelsa",IF(I812="Ara","Arabica",IF(I812="Lib","Liberica",""))))</f>
        <v>Liberica</v>
      </c>
      <c r="O812" t="str">
        <f t="shared" si="25"/>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INDEX(products!$A$1:$G$49,MATCH($D813,products!$A$1:$A$49,0),MATCH(orders!I$1,products!$A$1:$G$1,0))</f>
        <v>Ara</v>
      </c>
      <c r="J813" t="str">
        <f>INDEX(products!$A$1:$G$49,MATCH($D813,products!$A$1:$A$49,0),MATCH(orders!J$1,products!$A$1:$G$1,0))</f>
        <v>M</v>
      </c>
      <c r="K813" s="4">
        <f>INDEX(products!$A$1:$G$49,MATCH($D813,products!$A$1:$A$49,0),MATCH(orders!K$1,products!$A$1:$G$1,0))</f>
        <v>1</v>
      </c>
      <c r="L813" s="5">
        <f>INDEX(products!$A$1:$G$49,MATCH($D813,products!$A$1:$A$49,0),MATCH(orders!L$1,products!$A$1:$G$1,0))</f>
        <v>11.25</v>
      </c>
      <c r="M813" s="5">
        <f t="shared" si="24"/>
        <v>67.5</v>
      </c>
      <c r="N813" t="str">
        <f>IF(I813="Rob","Robusta",IF(I813="Exc","Excelsa",IF(I813="Ara","Arabica",IF(I813="Lib","Liberica",""))))</f>
        <v>Arabica</v>
      </c>
      <c r="O813" t="str">
        <f t="shared" si="25"/>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INDEX(products!$A$1:$G$49,MATCH($D814,products!$A$1:$A$49,0),MATCH(orders!I$1,products!$A$1:$G$1,0))</f>
        <v>Lib</v>
      </c>
      <c r="J814" t="str">
        <f>INDEX(products!$A$1:$G$49,MATCH($D814,products!$A$1:$A$49,0),MATCH(orders!J$1,products!$A$1:$G$1,0))</f>
        <v>D</v>
      </c>
      <c r="K814" s="4">
        <f>INDEX(products!$A$1:$G$49,MATCH($D814,products!$A$1:$A$49,0),MATCH(orders!K$1,products!$A$1:$G$1,0))</f>
        <v>2.5</v>
      </c>
      <c r="L814" s="5">
        <f>INDEX(products!$A$1:$G$49,MATCH($D814,products!$A$1:$A$49,0),MATCH(orders!L$1,products!$A$1:$G$1,0))</f>
        <v>29.784999999999997</v>
      </c>
      <c r="M814" s="5">
        <f t="shared" si="24"/>
        <v>178.70999999999998</v>
      </c>
      <c r="N814" t="str">
        <f>IF(I814="Rob","Robusta",IF(I814="Exc","Excelsa",IF(I814="Ara","Arabica",IF(I814="Lib","Liberica",""))))</f>
        <v>Liberica</v>
      </c>
      <c r="O814" t="str">
        <f t="shared" si="25"/>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INDEX(products!$A$1:$G$49,MATCH($D815,products!$A$1:$A$49,0),MATCH(orders!I$1,products!$A$1:$G$1,0))</f>
        <v>Exc</v>
      </c>
      <c r="J815" t="str">
        <f>INDEX(products!$A$1:$G$49,MATCH($D815,products!$A$1:$A$49,0),MATCH(orders!J$1,products!$A$1:$G$1,0))</f>
        <v>M</v>
      </c>
      <c r="K815" s="4">
        <f>INDEX(products!$A$1:$G$49,MATCH($D815,products!$A$1:$A$49,0),MATCH(orders!K$1,products!$A$1:$G$1,0))</f>
        <v>2.5</v>
      </c>
      <c r="L815" s="5">
        <f>INDEX(products!$A$1:$G$49,MATCH($D815,products!$A$1:$A$49,0),MATCH(orders!L$1,products!$A$1:$G$1,0))</f>
        <v>31.624999999999996</v>
      </c>
      <c r="M815" s="5">
        <f t="shared" si="24"/>
        <v>31.624999999999996</v>
      </c>
      <c r="N815" t="str">
        <f>IF(I815="Rob","Robusta",IF(I815="Exc","Excelsa",IF(I815="Ara","Arabica",IF(I815="Lib","Liberica",""))))</f>
        <v>Excelsa</v>
      </c>
      <c r="O815" t="str">
        <f t="shared" si="25"/>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INDEX(products!$A$1:$G$49,MATCH($D816,products!$A$1:$A$49,0),MATCH(orders!I$1,products!$A$1:$G$1,0))</f>
        <v>Exc</v>
      </c>
      <c r="J816" t="str">
        <f>INDEX(products!$A$1:$G$49,MATCH($D816,products!$A$1:$A$49,0),MATCH(orders!J$1,products!$A$1:$G$1,0))</f>
        <v>L</v>
      </c>
      <c r="K816" s="4">
        <f>INDEX(products!$A$1:$G$49,MATCH($D816,products!$A$1:$A$49,0),MATCH(orders!K$1,products!$A$1:$G$1,0))</f>
        <v>0.2</v>
      </c>
      <c r="L816" s="5">
        <f>INDEX(products!$A$1:$G$49,MATCH($D816,products!$A$1:$A$49,0),MATCH(orders!L$1,products!$A$1:$G$1,0))</f>
        <v>4.4550000000000001</v>
      </c>
      <c r="M816" s="5">
        <f t="shared" si="24"/>
        <v>8.91</v>
      </c>
      <c r="N816" t="str">
        <f>IF(I816="Rob","Robusta",IF(I816="Exc","Excelsa",IF(I816="Ara","Arabica",IF(I816="Lib","Liberica",""))))</f>
        <v>Excelsa</v>
      </c>
      <c r="O816" t="str">
        <f t="shared" si="25"/>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INDEX(products!$A$1:$G$49,MATCH($D817,products!$A$1:$A$49,0),MATCH(orders!I$1,products!$A$1:$G$1,0))</f>
        <v>Rob</v>
      </c>
      <c r="J817" t="str">
        <f>INDEX(products!$A$1:$G$49,MATCH($D817,products!$A$1:$A$49,0),MATCH(orders!J$1,products!$A$1:$G$1,0))</f>
        <v>M</v>
      </c>
      <c r="K817" s="4">
        <f>INDEX(products!$A$1:$G$49,MATCH($D817,products!$A$1:$A$49,0),MATCH(orders!K$1,products!$A$1:$G$1,0))</f>
        <v>0.5</v>
      </c>
      <c r="L817" s="5">
        <f>INDEX(products!$A$1:$G$49,MATCH($D817,products!$A$1:$A$49,0),MATCH(orders!L$1,products!$A$1:$G$1,0))</f>
        <v>5.97</v>
      </c>
      <c r="M817" s="5">
        <f t="shared" si="24"/>
        <v>35.82</v>
      </c>
      <c r="N817" t="str">
        <f>IF(I817="Rob","Robusta",IF(I817="Exc","Excelsa",IF(I817="Ara","Arabica",IF(I817="Lib","Liberica",""))))</f>
        <v>Robusta</v>
      </c>
      <c r="O817" t="str">
        <f t="shared" si="25"/>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INDEX(products!$A$1:$G$49,MATCH($D818,products!$A$1:$A$49,0),MATCH(orders!I$1,products!$A$1:$G$1,0))</f>
        <v>Lib</v>
      </c>
      <c r="J818" t="str">
        <f>INDEX(products!$A$1:$G$49,MATCH($D818,products!$A$1:$A$49,0),MATCH(orders!J$1,products!$A$1:$G$1,0))</f>
        <v>L</v>
      </c>
      <c r="K818" s="4">
        <f>INDEX(products!$A$1:$G$49,MATCH($D818,products!$A$1:$A$49,0),MATCH(orders!K$1,products!$A$1:$G$1,0))</f>
        <v>0.5</v>
      </c>
      <c r="L818" s="5">
        <f>INDEX(products!$A$1:$G$49,MATCH($D818,products!$A$1:$A$49,0),MATCH(orders!L$1,products!$A$1:$G$1,0))</f>
        <v>9.51</v>
      </c>
      <c r="M818" s="5">
        <f t="shared" si="24"/>
        <v>38.04</v>
      </c>
      <c r="N818" t="str">
        <f>IF(I818="Rob","Robusta",IF(I818="Exc","Excelsa",IF(I818="Ara","Arabica",IF(I818="Lib","Liberica",""))))</f>
        <v>Liberica</v>
      </c>
      <c r="O818" t="str">
        <f t="shared" si="25"/>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INDEX(products!$A$1:$G$49,MATCH($D819,products!$A$1:$A$49,0),MATCH(orders!I$1,products!$A$1:$G$1,0))</f>
        <v>Lib</v>
      </c>
      <c r="J819" t="str">
        <f>INDEX(products!$A$1:$G$49,MATCH($D819,products!$A$1:$A$49,0),MATCH(orders!J$1,products!$A$1:$G$1,0))</f>
        <v>D</v>
      </c>
      <c r="K819" s="4">
        <f>INDEX(products!$A$1:$G$49,MATCH($D819,products!$A$1:$A$49,0),MATCH(orders!K$1,products!$A$1:$G$1,0))</f>
        <v>0.5</v>
      </c>
      <c r="L819" s="5">
        <f>INDEX(products!$A$1:$G$49,MATCH($D819,products!$A$1:$A$49,0),MATCH(orders!L$1,products!$A$1:$G$1,0))</f>
        <v>7.77</v>
      </c>
      <c r="M819" s="5">
        <f t="shared" si="24"/>
        <v>15.54</v>
      </c>
      <c r="N819" t="str">
        <f>IF(I819="Rob","Robusta",IF(I819="Exc","Excelsa",IF(I819="Ara","Arabica",IF(I819="Lib","Liberica",""))))</f>
        <v>Liberica</v>
      </c>
      <c r="O819" t="str">
        <f t="shared" si="25"/>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INDEX(products!$A$1:$G$49,MATCH($D820,products!$A$1:$A$49,0),MATCH(orders!I$1,products!$A$1:$G$1,0))</f>
        <v>Lib</v>
      </c>
      <c r="J820" t="str">
        <f>INDEX(products!$A$1:$G$49,MATCH($D820,products!$A$1:$A$49,0),MATCH(orders!J$1,products!$A$1:$G$1,0))</f>
        <v>L</v>
      </c>
      <c r="K820" s="4">
        <f>INDEX(products!$A$1:$G$49,MATCH($D820,products!$A$1:$A$49,0),MATCH(orders!K$1,products!$A$1:$G$1,0))</f>
        <v>1</v>
      </c>
      <c r="L820" s="5">
        <f>INDEX(products!$A$1:$G$49,MATCH($D820,products!$A$1:$A$49,0),MATCH(orders!L$1,products!$A$1:$G$1,0))</f>
        <v>15.85</v>
      </c>
      <c r="M820" s="5">
        <f t="shared" si="24"/>
        <v>79.25</v>
      </c>
      <c r="N820" t="str">
        <f>IF(I820="Rob","Robusta",IF(I820="Exc","Excelsa",IF(I820="Ara","Arabica",IF(I820="Lib","Liberica",""))))</f>
        <v>Liberica</v>
      </c>
      <c r="O820" t="str">
        <f t="shared" si="25"/>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INDEX(products!$A$1:$G$49,MATCH($D821,products!$A$1:$A$49,0),MATCH(orders!I$1,products!$A$1:$G$1,0))</f>
        <v>Lib</v>
      </c>
      <c r="J821" t="str">
        <f>INDEX(products!$A$1:$G$49,MATCH($D821,products!$A$1:$A$49,0),MATCH(orders!J$1,products!$A$1:$G$1,0))</f>
        <v>L</v>
      </c>
      <c r="K821" s="4">
        <f>INDEX(products!$A$1:$G$49,MATCH($D821,products!$A$1:$A$49,0),MATCH(orders!K$1,products!$A$1:$G$1,0))</f>
        <v>0.2</v>
      </c>
      <c r="L821" s="5">
        <f>INDEX(products!$A$1:$G$49,MATCH($D821,products!$A$1:$A$49,0),MATCH(orders!L$1,products!$A$1:$G$1,0))</f>
        <v>4.7549999999999999</v>
      </c>
      <c r="M821" s="5">
        <f t="shared" si="24"/>
        <v>4.7549999999999999</v>
      </c>
      <c r="N821" t="str">
        <f>IF(I821="Rob","Robusta",IF(I821="Exc","Excelsa",IF(I821="Ara","Arabica",IF(I821="Lib","Liberica",""))))</f>
        <v>Liberica</v>
      </c>
      <c r="O821" t="str">
        <f t="shared" si="25"/>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INDEX(products!$A$1:$G$49,MATCH($D822,products!$A$1:$A$49,0),MATCH(orders!I$1,products!$A$1:$G$1,0))</f>
        <v>Exc</v>
      </c>
      <c r="J822" t="str">
        <f>INDEX(products!$A$1:$G$49,MATCH($D822,products!$A$1:$A$49,0),MATCH(orders!J$1,products!$A$1:$G$1,0))</f>
        <v>M</v>
      </c>
      <c r="K822" s="4">
        <f>INDEX(products!$A$1:$G$49,MATCH($D822,products!$A$1:$A$49,0),MATCH(orders!K$1,products!$A$1:$G$1,0))</f>
        <v>1</v>
      </c>
      <c r="L822" s="5">
        <f>INDEX(products!$A$1:$G$49,MATCH($D822,products!$A$1:$A$49,0),MATCH(orders!L$1,products!$A$1:$G$1,0))</f>
        <v>13.75</v>
      </c>
      <c r="M822" s="5">
        <f t="shared" si="24"/>
        <v>55</v>
      </c>
      <c r="N822" t="str">
        <f>IF(I822="Rob","Robusta",IF(I822="Exc","Excelsa",IF(I822="Ara","Arabica",IF(I822="Lib","Liberica",""))))</f>
        <v>Excelsa</v>
      </c>
      <c r="O822" t="str">
        <f t="shared" si="25"/>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INDEX(products!$A$1:$G$49,MATCH($D823,products!$A$1:$A$49,0),MATCH(orders!I$1,products!$A$1:$G$1,0))</f>
        <v>Rob</v>
      </c>
      <c r="J823" t="str">
        <f>INDEX(products!$A$1:$G$49,MATCH($D823,products!$A$1:$A$49,0),MATCH(orders!J$1,products!$A$1:$G$1,0))</f>
        <v>D</v>
      </c>
      <c r="K823" s="4">
        <f>INDEX(products!$A$1:$G$49,MATCH($D823,products!$A$1:$A$49,0),MATCH(orders!K$1,products!$A$1:$G$1,0))</f>
        <v>0.5</v>
      </c>
      <c r="L823" s="5">
        <f>INDEX(products!$A$1:$G$49,MATCH($D823,products!$A$1:$A$49,0),MATCH(orders!L$1,products!$A$1:$G$1,0))</f>
        <v>5.3699999999999992</v>
      </c>
      <c r="M823" s="5">
        <f t="shared" si="24"/>
        <v>26.849999999999994</v>
      </c>
      <c r="N823" t="str">
        <f>IF(I823="Rob","Robusta",IF(I823="Exc","Excelsa",IF(I823="Ara","Arabica",IF(I823="Lib","Liberica",""))))</f>
        <v>Robusta</v>
      </c>
      <c r="O823" t="str">
        <f t="shared" si="25"/>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INDEX(products!$A$1:$G$49,MATCH($D824,products!$A$1:$A$49,0),MATCH(orders!I$1,products!$A$1:$G$1,0))</f>
        <v>Exc</v>
      </c>
      <c r="J824" t="str">
        <f>INDEX(products!$A$1:$G$49,MATCH($D824,products!$A$1:$A$49,0),MATCH(orders!J$1,products!$A$1:$G$1,0))</f>
        <v>L</v>
      </c>
      <c r="K824" s="4">
        <f>INDEX(products!$A$1:$G$49,MATCH($D824,products!$A$1:$A$49,0),MATCH(orders!K$1,products!$A$1:$G$1,0))</f>
        <v>2.5</v>
      </c>
      <c r="L824" s="5">
        <f>INDEX(products!$A$1:$G$49,MATCH($D824,products!$A$1:$A$49,0),MATCH(orders!L$1,products!$A$1:$G$1,0))</f>
        <v>34.154999999999994</v>
      </c>
      <c r="M824" s="5">
        <f t="shared" si="24"/>
        <v>136.61999999999998</v>
      </c>
      <c r="N824" t="str">
        <f>IF(I824="Rob","Robusta",IF(I824="Exc","Excelsa",IF(I824="Ara","Arabica",IF(I824="Lib","Liberica",""))))</f>
        <v>Excelsa</v>
      </c>
      <c r="O824" t="str">
        <f t="shared" si="25"/>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INDEX(products!$A$1:$G$49,MATCH($D825,products!$A$1:$A$49,0),MATCH(orders!I$1,products!$A$1:$G$1,0))</f>
        <v>Lib</v>
      </c>
      <c r="J825" t="str">
        <f>INDEX(products!$A$1:$G$49,MATCH($D825,products!$A$1:$A$49,0),MATCH(orders!J$1,products!$A$1:$G$1,0))</f>
        <v>L</v>
      </c>
      <c r="K825" s="4">
        <f>INDEX(products!$A$1:$G$49,MATCH($D825,products!$A$1:$A$49,0),MATCH(orders!K$1,products!$A$1:$G$1,0))</f>
        <v>1</v>
      </c>
      <c r="L825" s="5">
        <f>INDEX(products!$A$1:$G$49,MATCH($D825,products!$A$1:$A$49,0),MATCH(orders!L$1,products!$A$1:$G$1,0))</f>
        <v>15.85</v>
      </c>
      <c r="M825" s="5">
        <f t="shared" si="24"/>
        <v>47.55</v>
      </c>
      <c r="N825" t="str">
        <f>IF(I825="Rob","Robusta",IF(I825="Exc","Excelsa",IF(I825="Ara","Arabica",IF(I825="Lib","Liberica",""))))</f>
        <v>Liberica</v>
      </c>
      <c r="O825" t="str">
        <f t="shared" si="25"/>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INDEX(products!$A$1:$G$49,MATCH($D826,products!$A$1:$A$49,0),MATCH(orders!I$1,products!$A$1:$G$1,0))</f>
        <v>Ara</v>
      </c>
      <c r="J826" t="str">
        <f>INDEX(products!$A$1:$G$49,MATCH($D826,products!$A$1:$A$49,0),MATCH(orders!J$1,products!$A$1:$G$1,0))</f>
        <v>M</v>
      </c>
      <c r="K826" s="4">
        <f>INDEX(products!$A$1:$G$49,MATCH($D826,products!$A$1:$A$49,0),MATCH(orders!K$1,products!$A$1:$G$1,0))</f>
        <v>0.2</v>
      </c>
      <c r="L826" s="5">
        <f>INDEX(products!$A$1:$G$49,MATCH($D826,products!$A$1:$A$49,0),MATCH(orders!L$1,products!$A$1:$G$1,0))</f>
        <v>3.375</v>
      </c>
      <c r="M826" s="5">
        <f t="shared" si="24"/>
        <v>16.875</v>
      </c>
      <c r="N826" t="str">
        <f>IF(I826="Rob","Robusta",IF(I826="Exc","Excelsa",IF(I826="Ara","Arabica",IF(I826="Lib","Liberica",""))))</f>
        <v>Arabica</v>
      </c>
      <c r="O826" t="str">
        <f t="shared" si="25"/>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INDEX(products!$A$1:$G$49,MATCH($D827,products!$A$1:$A$49,0),MATCH(orders!I$1,products!$A$1:$G$1,0))</f>
        <v>Ara</v>
      </c>
      <c r="J827" t="str">
        <f>INDEX(products!$A$1:$G$49,MATCH($D827,products!$A$1:$A$49,0),MATCH(orders!J$1,products!$A$1:$G$1,0))</f>
        <v>D</v>
      </c>
      <c r="K827" s="4">
        <f>INDEX(products!$A$1:$G$49,MATCH($D827,products!$A$1:$A$49,0),MATCH(orders!K$1,products!$A$1:$G$1,0))</f>
        <v>1</v>
      </c>
      <c r="L827" s="5">
        <f>INDEX(products!$A$1:$G$49,MATCH($D827,products!$A$1:$A$49,0),MATCH(orders!L$1,products!$A$1:$G$1,0))</f>
        <v>9.9499999999999993</v>
      </c>
      <c r="M827" s="5">
        <f t="shared" si="24"/>
        <v>29.849999999999998</v>
      </c>
      <c r="N827" t="str">
        <f>IF(I827="Rob","Robusta",IF(I827="Exc","Excelsa",IF(I827="Ara","Arabica",IF(I827="Lib","Liberica",""))))</f>
        <v>Arabica</v>
      </c>
      <c r="O827" t="str">
        <f t="shared" si="25"/>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INDEX(products!$A$1:$G$49,MATCH($D828,products!$A$1:$A$49,0),MATCH(orders!I$1,products!$A$1:$G$1,0))</f>
        <v>Exc</v>
      </c>
      <c r="J828" t="str">
        <f>INDEX(products!$A$1:$G$49,MATCH($D828,products!$A$1:$A$49,0),MATCH(orders!J$1,products!$A$1:$G$1,0))</f>
        <v>M</v>
      </c>
      <c r="K828" s="4">
        <f>INDEX(products!$A$1:$G$49,MATCH($D828,products!$A$1:$A$49,0),MATCH(orders!K$1,products!$A$1:$G$1,0))</f>
        <v>0.5</v>
      </c>
      <c r="L828" s="5">
        <f>INDEX(products!$A$1:$G$49,MATCH($D828,products!$A$1:$A$49,0),MATCH(orders!L$1,products!$A$1:$G$1,0))</f>
        <v>8.25</v>
      </c>
      <c r="M828" s="5">
        <f t="shared" si="24"/>
        <v>41.25</v>
      </c>
      <c r="N828" t="str">
        <f>IF(I828="Rob","Robusta",IF(I828="Exc","Excelsa",IF(I828="Ara","Arabica",IF(I828="Lib","Liberica",""))))</f>
        <v>Excelsa</v>
      </c>
      <c r="O828" t="str">
        <f t="shared" si="25"/>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INDEX(products!$A$1:$G$49,MATCH($D829,products!$A$1:$A$49,0),MATCH(orders!I$1,products!$A$1:$G$1,0))</f>
        <v>Exc</v>
      </c>
      <c r="J829" t="str">
        <f>INDEX(products!$A$1:$G$49,MATCH($D829,products!$A$1:$A$49,0),MATCH(orders!J$1,products!$A$1:$G$1,0))</f>
        <v>M</v>
      </c>
      <c r="K829" s="4">
        <f>INDEX(products!$A$1:$G$49,MATCH($D829,products!$A$1:$A$49,0),MATCH(orders!K$1,products!$A$1:$G$1,0))</f>
        <v>0.2</v>
      </c>
      <c r="L829" s="5">
        <f>INDEX(products!$A$1:$G$49,MATCH($D829,products!$A$1:$A$49,0),MATCH(orders!L$1,products!$A$1:$G$1,0))</f>
        <v>4.125</v>
      </c>
      <c r="M829" s="5">
        <f t="shared" si="24"/>
        <v>20.625</v>
      </c>
      <c r="N829" t="str">
        <f>IF(I829="Rob","Robusta",IF(I829="Exc","Excelsa",IF(I829="Ara","Arabica",IF(I829="Lib","Liberica",""))))</f>
        <v>Excelsa</v>
      </c>
      <c r="O829" t="str">
        <f t="shared" si="25"/>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INDEX(products!$A$1:$G$49,MATCH($D830,products!$A$1:$A$49,0),MATCH(orders!I$1,products!$A$1:$G$1,0))</f>
        <v>Ara</v>
      </c>
      <c r="J830" t="str">
        <f>INDEX(products!$A$1:$G$49,MATCH($D830,products!$A$1:$A$49,0),MATCH(orders!J$1,products!$A$1:$G$1,0))</f>
        <v>D</v>
      </c>
      <c r="K830" s="4">
        <f>INDEX(products!$A$1:$G$49,MATCH($D830,products!$A$1:$A$49,0),MATCH(orders!K$1,products!$A$1:$G$1,0))</f>
        <v>2.5</v>
      </c>
      <c r="L830" s="5">
        <f>INDEX(products!$A$1:$G$49,MATCH($D830,products!$A$1:$A$49,0),MATCH(orders!L$1,products!$A$1:$G$1,0))</f>
        <v>22.884999999999998</v>
      </c>
      <c r="M830" s="5">
        <f t="shared" si="24"/>
        <v>137.31</v>
      </c>
      <c r="N830" t="str">
        <f>IF(I830="Rob","Robusta",IF(I830="Exc","Excelsa",IF(I830="Ara","Arabica",IF(I830="Lib","Liberica",""))))</f>
        <v>Arabica</v>
      </c>
      <c r="O830" t="str">
        <f t="shared" si="25"/>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INDEX(products!$A$1:$G$49,MATCH($D831,products!$A$1:$A$49,0),MATCH(orders!I$1,products!$A$1:$G$1,0))</f>
        <v>Ara</v>
      </c>
      <c r="J831" t="str">
        <f>INDEX(products!$A$1:$G$49,MATCH($D831,products!$A$1:$A$49,0),MATCH(orders!J$1,products!$A$1:$G$1,0))</f>
        <v>D</v>
      </c>
      <c r="K831" s="4">
        <f>INDEX(products!$A$1:$G$49,MATCH($D831,products!$A$1:$A$49,0),MATCH(orders!K$1,products!$A$1:$G$1,0))</f>
        <v>0.2</v>
      </c>
      <c r="L831" s="5">
        <f>INDEX(products!$A$1:$G$49,MATCH($D831,products!$A$1:$A$49,0),MATCH(orders!L$1,products!$A$1:$G$1,0))</f>
        <v>2.9849999999999999</v>
      </c>
      <c r="M831" s="5">
        <f t="shared" si="24"/>
        <v>2.9849999999999999</v>
      </c>
      <c r="N831" t="str">
        <f>IF(I831="Rob","Robusta",IF(I831="Exc","Excelsa",IF(I831="Ara","Arabica",IF(I831="Lib","Liberica",""))))</f>
        <v>Arabica</v>
      </c>
      <c r="O831" t="str">
        <f t="shared" si="25"/>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INDEX(products!$A$1:$G$49,MATCH($D832,products!$A$1:$A$49,0),MATCH(orders!I$1,products!$A$1:$G$1,0))</f>
        <v>Exc</v>
      </c>
      <c r="J832" t="str">
        <f>INDEX(products!$A$1:$G$49,MATCH($D832,products!$A$1:$A$49,0),MATCH(orders!J$1,products!$A$1:$G$1,0))</f>
        <v>M</v>
      </c>
      <c r="K832" s="4">
        <f>INDEX(products!$A$1:$G$49,MATCH($D832,products!$A$1:$A$49,0),MATCH(orders!K$1,products!$A$1:$G$1,0))</f>
        <v>1</v>
      </c>
      <c r="L832" s="5">
        <f>INDEX(products!$A$1:$G$49,MATCH($D832,products!$A$1:$A$49,0),MATCH(orders!L$1,products!$A$1:$G$1,0))</f>
        <v>13.75</v>
      </c>
      <c r="M832" s="5">
        <f t="shared" si="24"/>
        <v>27.5</v>
      </c>
      <c r="N832" t="str">
        <f>IF(I832="Rob","Robusta",IF(I832="Exc","Excelsa",IF(I832="Ara","Arabica",IF(I832="Lib","Liberica",""))))</f>
        <v>Excelsa</v>
      </c>
      <c r="O832" t="str">
        <f t="shared" si="25"/>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INDEX(products!$A$1:$G$49,MATCH($D833,products!$A$1:$A$49,0),MATCH(orders!I$1,products!$A$1:$G$1,0))</f>
        <v>Ara</v>
      </c>
      <c r="J833" t="str">
        <f>INDEX(products!$A$1:$G$49,MATCH($D833,products!$A$1:$A$49,0),MATCH(orders!J$1,products!$A$1:$G$1,0))</f>
        <v>D</v>
      </c>
      <c r="K833" s="4">
        <f>INDEX(products!$A$1:$G$49,MATCH($D833,products!$A$1:$A$49,0),MATCH(orders!K$1,products!$A$1:$G$1,0))</f>
        <v>0.2</v>
      </c>
      <c r="L833" s="5">
        <f>INDEX(products!$A$1:$G$49,MATCH($D833,products!$A$1:$A$49,0),MATCH(orders!L$1,products!$A$1:$G$1,0))</f>
        <v>2.9849999999999999</v>
      </c>
      <c r="M833" s="5">
        <f t="shared" si="24"/>
        <v>5.97</v>
      </c>
      <c r="N833" t="str">
        <f>IF(I833="Rob","Robusta",IF(I833="Exc","Excelsa",IF(I833="Ara","Arabica",IF(I833="Lib","Liberica",""))))</f>
        <v>Arabica</v>
      </c>
      <c r="O833" t="str">
        <f t="shared" si="25"/>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INDEX(products!$A$1:$G$49,MATCH($D834,products!$A$1:$A$49,0),MATCH(orders!I$1,products!$A$1:$G$1,0))</f>
        <v>Rob</v>
      </c>
      <c r="J834" t="str">
        <f>INDEX(products!$A$1:$G$49,MATCH($D834,products!$A$1:$A$49,0),MATCH(orders!J$1,products!$A$1:$G$1,0))</f>
        <v>M</v>
      </c>
      <c r="K834" s="4">
        <f>INDEX(products!$A$1:$G$49,MATCH($D834,products!$A$1:$A$49,0),MATCH(orders!K$1,products!$A$1:$G$1,0))</f>
        <v>1</v>
      </c>
      <c r="L834" s="5">
        <f>INDEX(products!$A$1:$G$49,MATCH($D834,products!$A$1:$A$49,0),MATCH(orders!L$1,products!$A$1:$G$1,0))</f>
        <v>9.9499999999999993</v>
      </c>
      <c r="M834" s="5">
        <f t="shared" si="24"/>
        <v>59.699999999999996</v>
      </c>
      <c r="N834" t="str">
        <f>IF(I834="Rob","Robusta",IF(I834="Exc","Excelsa",IF(I834="Ara","Arabica",IF(I834="Lib","Liberica",""))))</f>
        <v>Robusta</v>
      </c>
      <c r="O834" t="str">
        <f t="shared" si="25"/>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INDEX(products!$A$1:$G$49,MATCH($D835,products!$A$1:$A$49,0),MATCH(orders!I$1,products!$A$1:$G$1,0))</f>
        <v>Rob</v>
      </c>
      <c r="J835" t="str">
        <f>INDEX(products!$A$1:$G$49,MATCH($D835,products!$A$1:$A$49,0),MATCH(orders!J$1,products!$A$1:$G$1,0))</f>
        <v>D</v>
      </c>
      <c r="K835" s="4">
        <f>INDEX(products!$A$1:$G$49,MATCH($D835,products!$A$1:$A$49,0),MATCH(orders!K$1,products!$A$1:$G$1,0))</f>
        <v>2.5</v>
      </c>
      <c r="L835" s="5">
        <f>INDEX(products!$A$1:$G$49,MATCH($D835,products!$A$1:$A$49,0),MATCH(orders!L$1,products!$A$1:$G$1,0))</f>
        <v>20.584999999999997</v>
      </c>
      <c r="M835" s="5">
        <f t="shared" ref="M835:M898" si="26">L835*E835</f>
        <v>82.339999999999989</v>
      </c>
      <c r="N835" t="str">
        <f>IF(I835="Rob","Robusta",IF(I835="Exc","Excelsa",IF(I835="Ara","Arabica",IF(I835="Lib","Liberica",""))))</f>
        <v>Robusta</v>
      </c>
      <c r="O835" t="str">
        <f t="shared" ref="O835:O898" si="27">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INDEX(products!$A$1:$G$49,MATCH($D836,products!$A$1:$A$49,0),MATCH(orders!I$1,products!$A$1:$G$1,0))</f>
        <v>Ara</v>
      </c>
      <c r="J836" t="str">
        <f>INDEX(products!$A$1:$G$49,MATCH($D836,products!$A$1:$A$49,0),MATCH(orders!J$1,products!$A$1:$G$1,0))</f>
        <v>D</v>
      </c>
      <c r="K836" s="4">
        <f>INDEX(products!$A$1:$G$49,MATCH($D836,products!$A$1:$A$49,0),MATCH(orders!K$1,products!$A$1:$G$1,0))</f>
        <v>2.5</v>
      </c>
      <c r="L836" s="5">
        <f>INDEX(products!$A$1:$G$49,MATCH($D836,products!$A$1:$A$49,0),MATCH(orders!L$1,products!$A$1:$G$1,0))</f>
        <v>22.884999999999998</v>
      </c>
      <c r="M836" s="5">
        <f t="shared" si="26"/>
        <v>22.884999999999998</v>
      </c>
      <c r="N836" t="str">
        <f>IF(I836="Rob","Robusta",IF(I836="Exc","Excelsa",IF(I836="Ara","Arabica",IF(I836="Lib","Liberica",""))))</f>
        <v>Arabica</v>
      </c>
      <c r="O836" t="str">
        <f t="shared" si="27"/>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INDEX(products!$A$1:$G$49,MATCH($D837,products!$A$1:$A$49,0),MATCH(orders!I$1,products!$A$1:$G$1,0))</f>
        <v>Exc</v>
      </c>
      <c r="J837" t="str">
        <f>INDEX(products!$A$1:$G$49,MATCH($D837,products!$A$1:$A$49,0),MATCH(orders!J$1,products!$A$1:$G$1,0))</f>
        <v>L</v>
      </c>
      <c r="K837" s="4">
        <f>INDEX(products!$A$1:$G$49,MATCH($D837,products!$A$1:$A$49,0),MATCH(orders!K$1,products!$A$1:$G$1,0))</f>
        <v>0.5</v>
      </c>
      <c r="L837" s="5">
        <f>INDEX(products!$A$1:$G$49,MATCH($D837,products!$A$1:$A$49,0),MATCH(orders!L$1,products!$A$1:$G$1,0))</f>
        <v>8.91</v>
      </c>
      <c r="M837" s="5">
        <f t="shared" si="26"/>
        <v>8.91</v>
      </c>
      <c r="N837" t="str">
        <f>IF(I837="Rob","Robusta",IF(I837="Exc","Excelsa",IF(I837="Ara","Arabica",IF(I837="Lib","Liberica",""))))</f>
        <v>Excelsa</v>
      </c>
      <c r="O837" t="str">
        <f t="shared" si="27"/>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INDEX(products!$A$1:$G$49,MATCH($D838,products!$A$1:$A$49,0),MATCH(orders!I$1,products!$A$1:$G$1,0))</f>
        <v>Ara</v>
      </c>
      <c r="J838" t="str">
        <f>INDEX(products!$A$1:$G$49,MATCH($D838,products!$A$1:$A$49,0),MATCH(orders!J$1,products!$A$1:$G$1,0))</f>
        <v>D</v>
      </c>
      <c r="K838" s="4">
        <f>INDEX(products!$A$1:$G$49,MATCH($D838,products!$A$1:$A$49,0),MATCH(orders!K$1,products!$A$1:$G$1,0))</f>
        <v>0.2</v>
      </c>
      <c r="L838" s="5">
        <f>INDEX(products!$A$1:$G$49,MATCH($D838,products!$A$1:$A$49,0),MATCH(orders!L$1,products!$A$1:$G$1,0))</f>
        <v>2.9849999999999999</v>
      </c>
      <c r="M838" s="5">
        <f t="shared" si="26"/>
        <v>11.94</v>
      </c>
      <c r="N838" t="str">
        <f>IF(I838="Rob","Robusta",IF(I838="Exc","Excelsa",IF(I838="Ara","Arabica",IF(I838="Lib","Liberica",""))))</f>
        <v>Arabica</v>
      </c>
      <c r="O838" t="str">
        <f t="shared" si="27"/>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INDEX(products!$A$1:$G$49,MATCH($D839,products!$A$1:$A$49,0),MATCH(orders!I$1,products!$A$1:$G$1,0))</f>
        <v>Lib</v>
      </c>
      <c r="J839" t="str">
        <f>INDEX(products!$A$1:$G$49,MATCH($D839,products!$A$1:$A$49,0),MATCH(orders!J$1,products!$A$1:$G$1,0))</f>
        <v>M</v>
      </c>
      <c r="K839" s="4">
        <f>INDEX(products!$A$1:$G$49,MATCH($D839,products!$A$1:$A$49,0),MATCH(orders!K$1,products!$A$1:$G$1,0))</f>
        <v>2.5</v>
      </c>
      <c r="L839" s="5">
        <f>INDEX(products!$A$1:$G$49,MATCH($D839,products!$A$1:$A$49,0),MATCH(orders!L$1,products!$A$1:$G$1,0))</f>
        <v>33.464999999999996</v>
      </c>
      <c r="M839" s="5">
        <f t="shared" si="26"/>
        <v>100.39499999999998</v>
      </c>
      <c r="N839" t="str">
        <f>IF(I839="Rob","Robusta",IF(I839="Exc","Excelsa",IF(I839="Ara","Arabica",IF(I839="Lib","Liberica",""))))</f>
        <v>Liberica</v>
      </c>
      <c r="O839" t="str">
        <f t="shared" si="27"/>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INDEX(products!$A$1:$G$49,MATCH($D840,products!$A$1:$A$49,0),MATCH(orders!I$1,products!$A$1:$G$1,0))</f>
        <v>Ara</v>
      </c>
      <c r="J840" t="str">
        <f>INDEX(products!$A$1:$G$49,MATCH($D840,products!$A$1:$A$49,0),MATCH(orders!J$1,products!$A$1:$G$1,0))</f>
        <v>D</v>
      </c>
      <c r="K840" s="4">
        <f>INDEX(products!$A$1:$G$49,MATCH($D840,products!$A$1:$A$49,0),MATCH(orders!K$1,products!$A$1:$G$1,0))</f>
        <v>2.5</v>
      </c>
      <c r="L840" s="5">
        <f>INDEX(products!$A$1:$G$49,MATCH($D840,products!$A$1:$A$49,0),MATCH(orders!L$1,products!$A$1:$G$1,0))</f>
        <v>22.884999999999998</v>
      </c>
      <c r="M840" s="5">
        <f t="shared" si="26"/>
        <v>114.42499999999998</v>
      </c>
      <c r="N840" t="str">
        <f>IF(I840="Rob","Robusta",IF(I840="Exc","Excelsa",IF(I840="Ara","Arabica",IF(I840="Lib","Liberica",""))))</f>
        <v>Arabica</v>
      </c>
      <c r="O840" t="str">
        <f t="shared" si="27"/>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INDEX(products!$A$1:$G$49,MATCH($D841,products!$A$1:$A$49,0),MATCH(orders!I$1,products!$A$1:$G$1,0))</f>
        <v>Exc</v>
      </c>
      <c r="J841" t="str">
        <f>INDEX(products!$A$1:$G$49,MATCH($D841,products!$A$1:$A$49,0),MATCH(orders!J$1,products!$A$1:$G$1,0))</f>
        <v>M</v>
      </c>
      <c r="K841" s="4">
        <f>INDEX(products!$A$1:$G$49,MATCH($D841,products!$A$1:$A$49,0),MATCH(orders!K$1,products!$A$1:$G$1,0))</f>
        <v>0.5</v>
      </c>
      <c r="L841" s="5">
        <f>INDEX(products!$A$1:$G$49,MATCH($D841,products!$A$1:$A$49,0),MATCH(orders!L$1,products!$A$1:$G$1,0))</f>
        <v>8.25</v>
      </c>
      <c r="M841" s="5">
        <f t="shared" si="26"/>
        <v>41.25</v>
      </c>
      <c r="N841" t="str">
        <f>IF(I841="Rob","Robusta",IF(I841="Exc","Excelsa",IF(I841="Ara","Arabica",IF(I841="Lib","Liberica",""))))</f>
        <v>Excelsa</v>
      </c>
      <c r="O841" t="str">
        <f t="shared" si="27"/>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INDEX(products!$A$1:$G$49,MATCH($D842,products!$A$1:$A$49,0),MATCH(orders!I$1,products!$A$1:$G$1,0))</f>
        <v>Rob</v>
      </c>
      <c r="J842" t="str">
        <f>INDEX(products!$A$1:$G$49,MATCH($D842,products!$A$1:$A$49,0),MATCH(orders!J$1,products!$A$1:$G$1,0))</f>
        <v>L</v>
      </c>
      <c r="K842" s="4">
        <f>INDEX(products!$A$1:$G$49,MATCH($D842,products!$A$1:$A$49,0),MATCH(orders!K$1,products!$A$1:$G$1,0))</f>
        <v>0.5</v>
      </c>
      <c r="L842" s="5">
        <f>INDEX(products!$A$1:$G$49,MATCH($D842,products!$A$1:$A$49,0),MATCH(orders!L$1,products!$A$1:$G$1,0))</f>
        <v>7.169999999999999</v>
      </c>
      <c r="M842" s="5">
        <f t="shared" si="26"/>
        <v>28.679999999999996</v>
      </c>
      <c r="N842" t="str">
        <f>IF(I842="Rob","Robusta",IF(I842="Exc","Excelsa",IF(I842="Ara","Arabica",IF(I842="Lib","Liberica",""))))</f>
        <v>Robusta</v>
      </c>
      <c r="O842" t="str">
        <f t="shared" si="27"/>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INDEX(products!$A$1:$G$49,MATCH($D843,products!$A$1:$A$49,0),MATCH(orders!I$1,products!$A$1:$G$1,0))</f>
        <v>Lib</v>
      </c>
      <c r="J843" t="str">
        <f>INDEX(products!$A$1:$G$49,MATCH($D843,products!$A$1:$A$49,0),MATCH(orders!J$1,products!$A$1:$G$1,0))</f>
        <v>M</v>
      </c>
      <c r="K843" s="4">
        <f>INDEX(products!$A$1:$G$49,MATCH($D843,products!$A$1:$A$49,0),MATCH(orders!K$1,products!$A$1:$G$1,0))</f>
        <v>0.2</v>
      </c>
      <c r="L843" s="5">
        <f>INDEX(products!$A$1:$G$49,MATCH($D843,products!$A$1:$A$49,0),MATCH(orders!L$1,products!$A$1:$G$1,0))</f>
        <v>4.3650000000000002</v>
      </c>
      <c r="M843" s="5">
        <f t="shared" si="26"/>
        <v>4.3650000000000002</v>
      </c>
      <c r="N843" t="str">
        <f>IF(I843="Rob","Robusta",IF(I843="Exc","Excelsa",IF(I843="Ara","Arabica",IF(I843="Lib","Liberica",""))))</f>
        <v>Liberica</v>
      </c>
      <c r="O843" t="str">
        <f t="shared" si="27"/>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INDEX(products!$A$1:$G$49,MATCH($D844,products!$A$1:$A$49,0),MATCH(orders!I$1,products!$A$1:$G$1,0))</f>
        <v>Exc</v>
      </c>
      <c r="J844" t="str">
        <f>INDEX(products!$A$1:$G$49,MATCH($D844,products!$A$1:$A$49,0),MATCH(orders!J$1,products!$A$1:$G$1,0))</f>
        <v>M</v>
      </c>
      <c r="K844" s="4">
        <f>INDEX(products!$A$1:$G$49,MATCH($D844,products!$A$1:$A$49,0),MATCH(orders!K$1,products!$A$1:$G$1,0))</f>
        <v>0.2</v>
      </c>
      <c r="L844" s="5">
        <f>INDEX(products!$A$1:$G$49,MATCH($D844,products!$A$1:$A$49,0),MATCH(orders!L$1,products!$A$1:$G$1,0))</f>
        <v>4.125</v>
      </c>
      <c r="M844" s="5">
        <f t="shared" si="26"/>
        <v>8.25</v>
      </c>
      <c r="N844" t="str">
        <f>IF(I844="Rob","Robusta",IF(I844="Exc","Excelsa",IF(I844="Ara","Arabica",IF(I844="Lib","Liberica",""))))</f>
        <v>Excelsa</v>
      </c>
      <c r="O844" t="str">
        <f t="shared" si="27"/>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INDEX(products!$A$1:$G$49,MATCH($D845,products!$A$1:$A$49,0),MATCH(orders!I$1,products!$A$1:$G$1,0))</f>
        <v>Exc</v>
      </c>
      <c r="J845" t="str">
        <f>INDEX(products!$A$1:$G$49,MATCH($D845,products!$A$1:$A$49,0),MATCH(orders!J$1,products!$A$1:$G$1,0))</f>
        <v>M</v>
      </c>
      <c r="K845" s="4">
        <f>INDEX(products!$A$1:$G$49,MATCH($D845,products!$A$1:$A$49,0),MATCH(orders!K$1,products!$A$1:$G$1,0))</f>
        <v>0.2</v>
      </c>
      <c r="L845" s="5">
        <f>INDEX(products!$A$1:$G$49,MATCH($D845,products!$A$1:$A$49,0),MATCH(orders!L$1,products!$A$1:$G$1,0))</f>
        <v>4.125</v>
      </c>
      <c r="M845" s="5">
        <f t="shared" si="26"/>
        <v>8.25</v>
      </c>
      <c r="N845" t="str">
        <f>IF(I845="Rob","Robusta",IF(I845="Exc","Excelsa",IF(I845="Ara","Arabica",IF(I845="Lib","Liberica",""))))</f>
        <v>Excelsa</v>
      </c>
      <c r="O845" t="str">
        <f t="shared" si="27"/>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INDEX(products!$A$1:$G$49,MATCH($D846,products!$A$1:$A$49,0),MATCH(orders!I$1,products!$A$1:$G$1,0))</f>
        <v>Ara</v>
      </c>
      <c r="J846" t="str">
        <f>INDEX(products!$A$1:$G$49,MATCH($D846,products!$A$1:$A$49,0),MATCH(orders!J$1,products!$A$1:$G$1,0))</f>
        <v>D</v>
      </c>
      <c r="K846" s="4">
        <f>INDEX(products!$A$1:$G$49,MATCH($D846,products!$A$1:$A$49,0),MATCH(orders!K$1,products!$A$1:$G$1,0))</f>
        <v>0.5</v>
      </c>
      <c r="L846" s="5">
        <f>INDEX(products!$A$1:$G$49,MATCH($D846,products!$A$1:$A$49,0),MATCH(orders!L$1,products!$A$1:$G$1,0))</f>
        <v>5.97</v>
      </c>
      <c r="M846" s="5">
        <f t="shared" si="26"/>
        <v>35.82</v>
      </c>
      <c r="N846" t="str">
        <f>IF(I846="Rob","Robusta",IF(I846="Exc","Excelsa",IF(I846="Ara","Arabica",IF(I846="Lib","Liberica",""))))</f>
        <v>Arabica</v>
      </c>
      <c r="O846" t="str">
        <f t="shared" si="27"/>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INDEX(products!$A$1:$G$49,MATCH($D847,products!$A$1:$A$49,0),MATCH(orders!I$1,products!$A$1:$G$1,0))</f>
        <v>Exc</v>
      </c>
      <c r="J847" t="str">
        <f>INDEX(products!$A$1:$G$49,MATCH($D847,products!$A$1:$A$49,0),MATCH(orders!J$1,products!$A$1:$G$1,0))</f>
        <v>D</v>
      </c>
      <c r="K847" s="4">
        <f>INDEX(products!$A$1:$G$49,MATCH($D847,products!$A$1:$A$49,0),MATCH(orders!K$1,products!$A$1:$G$1,0))</f>
        <v>2.5</v>
      </c>
      <c r="L847" s="5">
        <f>INDEX(products!$A$1:$G$49,MATCH($D847,products!$A$1:$A$49,0),MATCH(orders!L$1,products!$A$1:$G$1,0))</f>
        <v>27.945</v>
      </c>
      <c r="M847" s="5">
        <f t="shared" si="26"/>
        <v>167.67000000000002</v>
      </c>
      <c r="N847" t="str">
        <f>IF(I847="Rob","Robusta",IF(I847="Exc","Excelsa",IF(I847="Ara","Arabica",IF(I847="Lib","Liberica",""))))</f>
        <v>Excelsa</v>
      </c>
      <c r="O847" t="str">
        <f t="shared" si="27"/>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INDEX(products!$A$1:$G$49,MATCH($D848,products!$A$1:$A$49,0),MATCH(orders!I$1,products!$A$1:$G$1,0))</f>
        <v>Ara</v>
      </c>
      <c r="J848" t="str">
        <f>INDEX(products!$A$1:$G$49,MATCH($D848,products!$A$1:$A$49,0),MATCH(orders!J$1,products!$A$1:$G$1,0))</f>
        <v>M</v>
      </c>
      <c r="K848" s="4">
        <f>INDEX(products!$A$1:$G$49,MATCH($D848,products!$A$1:$A$49,0),MATCH(orders!K$1,products!$A$1:$G$1,0))</f>
        <v>2.5</v>
      </c>
      <c r="L848" s="5">
        <f>INDEX(products!$A$1:$G$49,MATCH($D848,products!$A$1:$A$49,0),MATCH(orders!L$1,products!$A$1:$G$1,0))</f>
        <v>25.874999999999996</v>
      </c>
      <c r="M848" s="5">
        <f t="shared" si="26"/>
        <v>51.749999999999993</v>
      </c>
      <c r="N848" t="str">
        <f>IF(I848="Rob","Robusta",IF(I848="Exc","Excelsa",IF(I848="Ara","Arabica",IF(I848="Lib","Liberica",""))))</f>
        <v>Arabica</v>
      </c>
      <c r="O848" t="str">
        <f t="shared" si="27"/>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INDEX(products!$A$1:$G$49,MATCH($D849,products!$A$1:$A$49,0),MATCH(orders!I$1,products!$A$1:$G$1,0))</f>
        <v>Ara</v>
      </c>
      <c r="J849" t="str">
        <f>INDEX(products!$A$1:$G$49,MATCH($D849,products!$A$1:$A$49,0),MATCH(orders!J$1,products!$A$1:$G$1,0))</f>
        <v>D</v>
      </c>
      <c r="K849" s="4">
        <f>INDEX(products!$A$1:$G$49,MATCH($D849,products!$A$1:$A$49,0),MATCH(orders!K$1,products!$A$1:$G$1,0))</f>
        <v>0.2</v>
      </c>
      <c r="L849" s="5">
        <f>INDEX(products!$A$1:$G$49,MATCH($D849,products!$A$1:$A$49,0),MATCH(orders!L$1,products!$A$1:$G$1,0))</f>
        <v>2.9849999999999999</v>
      </c>
      <c r="M849" s="5">
        <f t="shared" si="26"/>
        <v>8.9550000000000001</v>
      </c>
      <c r="N849" t="str">
        <f>IF(I849="Rob","Robusta",IF(I849="Exc","Excelsa",IF(I849="Ara","Arabica",IF(I849="Lib","Liberica",""))))</f>
        <v>Arabica</v>
      </c>
      <c r="O849" t="str">
        <f t="shared" si="27"/>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INDEX(products!$A$1:$G$49,MATCH($D850,products!$A$1:$A$49,0),MATCH(orders!I$1,products!$A$1:$G$1,0))</f>
        <v>Exc</v>
      </c>
      <c r="J850" t="str">
        <f>INDEX(products!$A$1:$G$49,MATCH($D850,products!$A$1:$A$49,0),MATCH(orders!J$1,products!$A$1:$G$1,0))</f>
        <v>L</v>
      </c>
      <c r="K850" s="4">
        <f>INDEX(products!$A$1:$G$49,MATCH($D850,products!$A$1:$A$49,0),MATCH(orders!K$1,products!$A$1:$G$1,0))</f>
        <v>0.5</v>
      </c>
      <c r="L850" s="5">
        <f>INDEX(products!$A$1:$G$49,MATCH($D850,products!$A$1:$A$49,0),MATCH(orders!L$1,products!$A$1:$G$1,0))</f>
        <v>8.91</v>
      </c>
      <c r="M850" s="5">
        <f t="shared" si="26"/>
        <v>53.46</v>
      </c>
      <c r="N850" t="str">
        <f>IF(I850="Rob","Robusta",IF(I850="Exc","Excelsa",IF(I850="Ara","Arabica",IF(I850="Lib","Liberica",""))))</f>
        <v>Excelsa</v>
      </c>
      <c r="O850" t="str">
        <f t="shared" si="27"/>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INDEX(products!$A$1:$G$49,MATCH($D851,products!$A$1:$A$49,0),MATCH(orders!I$1,products!$A$1:$G$1,0))</f>
        <v>Ara</v>
      </c>
      <c r="J851" t="str">
        <f>INDEX(products!$A$1:$G$49,MATCH($D851,products!$A$1:$A$49,0),MATCH(orders!J$1,products!$A$1:$G$1,0))</f>
        <v>L</v>
      </c>
      <c r="K851" s="4">
        <f>INDEX(products!$A$1:$G$49,MATCH($D851,products!$A$1:$A$49,0),MATCH(orders!K$1,products!$A$1:$G$1,0))</f>
        <v>0.2</v>
      </c>
      <c r="L851" s="5">
        <f>INDEX(products!$A$1:$G$49,MATCH($D851,products!$A$1:$A$49,0),MATCH(orders!L$1,products!$A$1:$G$1,0))</f>
        <v>3.8849999999999998</v>
      </c>
      <c r="M851" s="5">
        <f t="shared" si="26"/>
        <v>23.31</v>
      </c>
      <c r="N851" t="str">
        <f>IF(I851="Rob","Robusta",IF(I851="Exc","Excelsa",IF(I851="Ara","Arabica",IF(I851="Lib","Liberica",""))))</f>
        <v>Arabica</v>
      </c>
      <c r="O851" t="str">
        <f t="shared" si="27"/>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INDEX(products!$A$1:$G$49,MATCH($D852,products!$A$1:$A$49,0),MATCH(orders!I$1,products!$A$1:$G$1,0))</f>
        <v>Ara</v>
      </c>
      <c r="J852" t="str">
        <f>INDEX(products!$A$1:$G$49,MATCH($D852,products!$A$1:$A$49,0),MATCH(orders!J$1,products!$A$1:$G$1,0))</f>
        <v>M</v>
      </c>
      <c r="K852" s="4">
        <f>INDEX(products!$A$1:$G$49,MATCH($D852,products!$A$1:$A$49,0),MATCH(orders!K$1,products!$A$1:$G$1,0))</f>
        <v>0.2</v>
      </c>
      <c r="L852" s="5">
        <f>INDEX(products!$A$1:$G$49,MATCH($D852,products!$A$1:$A$49,0),MATCH(orders!L$1,products!$A$1:$G$1,0))</f>
        <v>3.375</v>
      </c>
      <c r="M852" s="5">
        <f t="shared" si="26"/>
        <v>6.75</v>
      </c>
      <c r="N852" t="str">
        <f>IF(I852="Rob","Robusta",IF(I852="Exc","Excelsa",IF(I852="Ara","Arabica",IF(I852="Lib","Liberica",""))))</f>
        <v>Arabica</v>
      </c>
      <c r="O852" t="str">
        <f t="shared" si="27"/>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INDEX(products!$A$1:$G$49,MATCH($D853,products!$A$1:$A$49,0),MATCH(orders!I$1,products!$A$1:$G$1,0))</f>
        <v>Lib</v>
      </c>
      <c r="J853" t="str">
        <f>INDEX(products!$A$1:$G$49,MATCH($D853,products!$A$1:$A$49,0),MATCH(orders!J$1,products!$A$1:$G$1,0))</f>
        <v>D</v>
      </c>
      <c r="K853" s="4">
        <f>INDEX(products!$A$1:$G$49,MATCH($D853,products!$A$1:$A$49,0),MATCH(orders!K$1,products!$A$1:$G$1,0))</f>
        <v>0.5</v>
      </c>
      <c r="L853" s="5">
        <f>INDEX(products!$A$1:$G$49,MATCH($D853,products!$A$1:$A$49,0),MATCH(orders!L$1,products!$A$1:$G$1,0))</f>
        <v>7.77</v>
      </c>
      <c r="M853" s="5">
        <f t="shared" si="26"/>
        <v>7.77</v>
      </c>
      <c r="N853" t="str">
        <f>IF(I853="Rob","Robusta",IF(I853="Exc","Excelsa",IF(I853="Ara","Arabica",IF(I853="Lib","Liberica",""))))</f>
        <v>Liberica</v>
      </c>
      <c r="O853" t="str">
        <f t="shared" si="27"/>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INDEX(products!$A$1:$G$49,MATCH($D854,products!$A$1:$A$49,0),MATCH(orders!I$1,products!$A$1:$G$1,0))</f>
        <v>Lib</v>
      </c>
      <c r="J854" t="str">
        <f>INDEX(products!$A$1:$G$49,MATCH($D854,products!$A$1:$A$49,0),MATCH(orders!J$1,products!$A$1:$G$1,0))</f>
        <v>D</v>
      </c>
      <c r="K854" s="4">
        <f>INDEX(products!$A$1:$G$49,MATCH($D854,products!$A$1:$A$49,0),MATCH(orders!K$1,products!$A$1:$G$1,0))</f>
        <v>2.5</v>
      </c>
      <c r="L854" s="5">
        <f>INDEX(products!$A$1:$G$49,MATCH($D854,products!$A$1:$A$49,0),MATCH(orders!L$1,products!$A$1:$G$1,0))</f>
        <v>29.784999999999997</v>
      </c>
      <c r="M854" s="5">
        <f t="shared" si="26"/>
        <v>119.13999999999999</v>
      </c>
      <c r="N854" t="str">
        <f>IF(I854="Rob","Robusta",IF(I854="Exc","Excelsa",IF(I854="Ara","Arabica",IF(I854="Lib","Liberica",""))))</f>
        <v>Liberica</v>
      </c>
      <c r="O854" t="str">
        <f t="shared" si="27"/>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INDEX(products!$A$1:$G$49,MATCH($D855,products!$A$1:$A$49,0),MATCH(orders!I$1,products!$A$1:$G$1,0))</f>
        <v>Ara</v>
      </c>
      <c r="J855" t="str">
        <f>INDEX(products!$A$1:$G$49,MATCH($D855,products!$A$1:$A$49,0),MATCH(orders!J$1,products!$A$1:$G$1,0))</f>
        <v>D</v>
      </c>
      <c r="K855" s="4">
        <f>INDEX(products!$A$1:$G$49,MATCH($D855,products!$A$1:$A$49,0),MATCH(orders!K$1,products!$A$1:$G$1,0))</f>
        <v>1</v>
      </c>
      <c r="L855" s="5">
        <f>INDEX(products!$A$1:$G$49,MATCH($D855,products!$A$1:$A$49,0),MATCH(orders!L$1,products!$A$1:$G$1,0))</f>
        <v>9.9499999999999993</v>
      </c>
      <c r="M855" s="5">
        <f t="shared" si="26"/>
        <v>19.899999999999999</v>
      </c>
      <c r="N855" t="str">
        <f>IF(I855="Rob","Robusta",IF(I855="Exc","Excelsa",IF(I855="Ara","Arabica",IF(I855="Lib","Liberica",""))))</f>
        <v>Arabica</v>
      </c>
      <c r="O855" t="str">
        <f t="shared" si="27"/>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INDEX(products!$A$1:$G$49,MATCH($D856,products!$A$1:$A$49,0),MATCH(orders!I$1,products!$A$1:$G$1,0))</f>
        <v>Rob</v>
      </c>
      <c r="J856" t="str">
        <f>INDEX(products!$A$1:$G$49,MATCH($D856,products!$A$1:$A$49,0),MATCH(orders!J$1,products!$A$1:$G$1,0))</f>
        <v>L</v>
      </c>
      <c r="K856" s="4">
        <f>INDEX(products!$A$1:$G$49,MATCH($D856,products!$A$1:$A$49,0),MATCH(orders!K$1,products!$A$1:$G$1,0))</f>
        <v>0.5</v>
      </c>
      <c r="L856" s="5">
        <f>INDEX(products!$A$1:$G$49,MATCH($D856,products!$A$1:$A$49,0),MATCH(orders!L$1,products!$A$1:$G$1,0))</f>
        <v>7.169999999999999</v>
      </c>
      <c r="M856" s="5">
        <f t="shared" si="26"/>
        <v>35.849999999999994</v>
      </c>
      <c r="N856" t="str">
        <f>IF(I856="Rob","Robusta",IF(I856="Exc","Excelsa",IF(I856="Ara","Arabica",IF(I856="Lib","Liberica",""))))</f>
        <v>Robusta</v>
      </c>
      <c r="O856" t="str">
        <f t="shared" si="27"/>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INDEX(products!$A$1:$G$49,MATCH($D857,products!$A$1:$A$49,0),MATCH(orders!I$1,products!$A$1:$G$1,0))</f>
        <v>Lib</v>
      </c>
      <c r="J857" t="str">
        <f>INDEX(products!$A$1:$G$49,MATCH($D857,products!$A$1:$A$49,0),MATCH(orders!J$1,products!$A$1:$G$1,0))</f>
        <v>D</v>
      </c>
      <c r="K857" s="4">
        <f>INDEX(products!$A$1:$G$49,MATCH($D857,products!$A$1:$A$49,0),MATCH(orders!K$1,products!$A$1:$G$1,0))</f>
        <v>2.5</v>
      </c>
      <c r="L857" s="5">
        <f>INDEX(products!$A$1:$G$49,MATCH($D857,products!$A$1:$A$49,0),MATCH(orders!L$1,products!$A$1:$G$1,0))</f>
        <v>29.784999999999997</v>
      </c>
      <c r="M857" s="5">
        <f t="shared" si="26"/>
        <v>89.35499999999999</v>
      </c>
      <c r="N857" t="str">
        <f>IF(I857="Rob","Robusta",IF(I857="Exc","Excelsa",IF(I857="Ara","Arabica",IF(I857="Lib","Liberica",""))))</f>
        <v>Liberica</v>
      </c>
      <c r="O857" t="str">
        <f t="shared" si="27"/>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INDEX(products!$A$1:$G$49,MATCH($D858,products!$A$1:$A$49,0),MATCH(orders!I$1,products!$A$1:$G$1,0))</f>
        <v>Lib</v>
      </c>
      <c r="J858" t="str">
        <f>INDEX(products!$A$1:$G$49,MATCH($D858,products!$A$1:$A$49,0),MATCH(orders!J$1,products!$A$1:$G$1,0))</f>
        <v>M</v>
      </c>
      <c r="K858" s="4">
        <f>INDEX(products!$A$1:$G$49,MATCH($D858,products!$A$1:$A$49,0),MATCH(orders!K$1,products!$A$1:$G$1,0))</f>
        <v>0.2</v>
      </c>
      <c r="L858" s="5">
        <f>INDEX(products!$A$1:$G$49,MATCH($D858,products!$A$1:$A$49,0),MATCH(orders!L$1,products!$A$1:$G$1,0))</f>
        <v>4.3650000000000002</v>
      </c>
      <c r="M858" s="5">
        <f t="shared" si="26"/>
        <v>8.73</v>
      </c>
      <c r="N858" t="str">
        <f>IF(I858="Rob","Robusta",IF(I858="Exc","Excelsa",IF(I858="Ara","Arabica",IF(I858="Lib","Liberica",""))))</f>
        <v>Liberica</v>
      </c>
      <c r="O858" t="str">
        <f t="shared" si="27"/>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INDEX(products!$A$1:$G$49,MATCH($D859,products!$A$1:$A$49,0),MATCH(orders!I$1,products!$A$1:$G$1,0))</f>
        <v>Rob</v>
      </c>
      <c r="J859" t="str">
        <f>INDEX(products!$A$1:$G$49,MATCH($D859,products!$A$1:$A$49,0),MATCH(orders!J$1,products!$A$1:$G$1,0))</f>
        <v>L</v>
      </c>
      <c r="K859" s="4">
        <f>INDEX(products!$A$1:$G$49,MATCH($D859,products!$A$1:$A$49,0),MATCH(orders!K$1,products!$A$1:$G$1,0))</f>
        <v>2.5</v>
      </c>
      <c r="L859" s="5">
        <f>INDEX(products!$A$1:$G$49,MATCH($D859,products!$A$1:$A$49,0),MATCH(orders!L$1,products!$A$1:$G$1,0))</f>
        <v>27.484999999999996</v>
      </c>
      <c r="M859" s="5">
        <f t="shared" si="26"/>
        <v>137.42499999999998</v>
      </c>
      <c r="N859" t="str">
        <f>IF(I859="Rob","Robusta",IF(I859="Exc","Excelsa",IF(I859="Ara","Arabica",IF(I859="Lib","Liberica",""))))</f>
        <v>Robusta</v>
      </c>
      <c r="O859" t="str">
        <f t="shared" si="27"/>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INDEX(products!$A$1:$G$49,MATCH($D860,products!$A$1:$A$49,0),MATCH(orders!I$1,products!$A$1:$G$1,0))</f>
        <v>Lib</v>
      </c>
      <c r="J860" t="str">
        <f>INDEX(products!$A$1:$G$49,MATCH($D860,products!$A$1:$A$49,0),MATCH(orders!J$1,products!$A$1:$G$1,0))</f>
        <v>M</v>
      </c>
      <c r="K860" s="4">
        <f>INDEX(products!$A$1:$G$49,MATCH($D860,products!$A$1:$A$49,0),MATCH(orders!K$1,products!$A$1:$G$1,0))</f>
        <v>0.5</v>
      </c>
      <c r="L860" s="5">
        <f>INDEX(products!$A$1:$G$49,MATCH($D860,products!$A$1:$A$49,0),MATCH(orders!L$1,products!$A$1:$G$1,0))</f>
        <v>8.73</v>
      </c>
      <c r="M860" s="5">
        <f t="shared" si="26"/>
        <v>34.92</v>
      </c>
      <c r="N860" t="str">
        <f>IF(I860="Rob","Robusta",IF(I860="Exc","Excelsa",IF(I860="Ara","Arabica",IF(I860="Lib","Liberica",""))))</f>
        <v>Liberica</v>
      </c>
      <c r="O860" t="str">
        <f t="shared" si="27"/>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INDEX(products!$A$1:$G$49,MATCH($D861,products!$A$1:$A$49,0),MATCH(orders!I$1,products!$A$1:$G$1,0))</f>
        <v>Ara</v>
      </c>
      <c r="J861" t="str">
        <f>INDEX(products!$A$1:$G$49,MATCH($D861,products!$A$1:$A$49,0),MATCH(orders!J$1,products!$A$1:$G$1,0))</f>
        <v>L</v>
      </c>
      <c r="K861" s="4">
        <f>INDEX(products!$A$1:$G$49,MATCH($D861,products!$A$1:$A$49,0),MATCH(orders!K$1,products!$A$1:$G$1,0))</f>
        <v>2.5</v>
      </c>
      <c r="L861" s="5">
        <f>INDEX(products!$A$1:$G$49,MATCH($D861,products!$A$1:$A$49,0),MATCH(orders!L$1,products!$A$1:$G$1,0))</f>
        <v>29.784999999999997</v>
      </c>
      <c r="M861" s="5">
        <f t="shared" si="26"/>
        <v>178.70999999999998</v>
      </c>
      <c r="N861" t="str">
        <f>IF(I861="Rob","Robusta",IF(I861="Exc","Excelsa",IF(I861="Ara","Arabica",IF(I861="Lib","Liberica",""))))</f>
        <v>Arabica</v>
      </c>
      <c r="O861" t="str">
        <f t="shared" si="27"/>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INDEX(products!$A$1:$G$49,MATCH($D862,products!$A$1:$A$49,0),MATCH(orders!I$1,products!$A$1:$G$1,0))</f>
        <v>Ara</v>
      </c>
      <c r="J862" t="str">
        <f>INDEX(products!$A$1:$G$49,MATCH($D862,products!$A$1:$A$49,0),MATCH(orders!J$1,products!$A$1:$G$1,0))</f>
        <v>M</v>
      </c>
      <c r="K862" s="4">
        <f>INDEX(products!$A$1:$G$49,MATCH($D862,products!$A$1:$A$49,0),MATCH(orders!K$1,products!$A$1:$G$1,0))</f>
        <v>2.5</v>
      </c>
      <c r="L862" s="5">
        <f>INDEX(products!$A$1:$G$49,MATCH($D862,products!$A$1:$A$49,0),MATCH(orders!L$1,products!$A$1:$G$1,0))</f>
        <v>25.874999999999996</v>
      </c>
      <c r="M862" s="5">
        <f t="shared" si="26"/>
        <v>25.874999999999996</v>
      </c>
      <c r="N862" t="str">
        <f>IF(I862="Rob","Robusta",IF(I862="Exc","Excelsa",IF(I862="Ara","Arabica",IF(I862="Lib","Liberica",""))))</f>
        <v>Arabica</v>
      </c>
      <c r="O862" t="str">
        <f t="shared" si="27"/>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INDEX(products!$A$1:$G$49,MATCH($D863,products!$A$1:$A$49,0),MATCH(orders!I$1,products!$A$1:$G$1,0))</f>
        <v>Lib</v>
      </c>
      <c r="J863" t="str">
        <f>INDEX(products!$A$1:$G$49,MATCH($D863,products!$A$1:$A$49,0),MATCH(orders!J$1,products!$A$1:$G$1,0))</f>
        <v>D</v>
      </c>
      <c r="K863" s="4">
        <f>INDEX(products!$A$1:$G$49,MATCH($D863,products!$A$1:$A$49,0),MATCH(orders!K$1,products!$A$1:$G$1,0))</f>
        <v>1</v>
      </c>
      <c r="L863" s="5">
        <f>INDEX(products!$A$1:$G$49,MATCH($D863,products!$A$1:$A$49,0),MATCH(orders!L$1,products!$A$1:$G$1,0))</f>
        <v>12.95</v>
      </c>
      <c r="M863" s="5">
        <f t="shared" si="26"/>
        <v>77.699999999999989</v>
      </c>
      <c r="N863" t="str">
        <f>IF(I863="Rob","Robusta",IF(I863="Exc","Excelsa",IF(I863="Ara","Arabica",IF(I863="Lib","Liberica",""))))</f>
        <v>Liberica</v>
      </c>
      <c r="O863" t="str">
        <f t="shared" si="27"/>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INDEX(products!$A$1:$G$49,MATCH($D864,products!$A$1:$A$49,0),MATCH(orders!I$1,products!$A$1:$G$1,0))</f>
        <v>Rob</v>
      </c>
      <c r="J864" t="str">
        <f>INDEX(products!$A$1:$G$49,MATCH($D864,products!$A$1:$A$49,0),MATCH(orders!J$1,products!$A$1:$G$1,0))</f>
        <v>M</v>
      </c>
      <c r="K864" s="4">
        <f>INDEX(products!$A$1:$G$49,MATCH($D864,products!$A$1:$A$49,0),MATCH(orders!K$1,products!$A$1:$G$1,0))</f>
        <v>1</v>
      </c>
      <c r="L864" s="5">
        <f>INDEX(products!$A$1:$G$49,MATCH($D864,products!$A$1:$A$49,0),MATCH(orders!L$1,products!$A$1:$G$1,0))</f>
        <v>9.9499999999999993</v>
      </c>
      <c r="M864" s="5">
        <f t="shared" si="26"/>
        <v>9.9499999999999993</v>
      </c>
      <c r="N864" t="str">
        <f>IF(I864="Rob","Robusta",IF(I864="Exc","Excelsa",IF(I864="Ara","Arabica",IF(I864="Lib","Liberica",""))))</f>
        <v>Robusta</v>
      </c>
      <c r="O864" t="str">
        <f t="shared" si="27"/>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INDEX(products!$A$1:$G$49,MATCH($D865,products!$A$1:$A$49,0),MATCH(orders!I$1,products!$A$1:$G$1,0))</f>
        <v>Lib</v>
      </c>
      <c r="J865" t="str">
        <f>INDEX(products!$A$1:$G$49,MATCH($D865,products!$A$1:$A$49,0),MATCH(orders!J$1,products!$A$1:$G$1,0))</f>
        <v>M</v>
      </c>
      <c r="K865" s="4">
        <f>INDEX(products!$A$1:$G$49,MATCH($D865,products!$A$1:$A$49,0),MATCH(orders!K$1,products!$A$1:$G$1,0))</f>
        <v>1</v>
      </c>
      <c r="L865" s="5">
        <f>INDEX(products!$A$1:$G$49,MATCH($D865,products!$A$1:$A$49,0),MATCH(orders!L$1,products!$A$1:$G$1,0))</f>
        <v>14.55</v>
      </c>
      <c r="M865" s="5">
        <f t="shared" si="26"/>
        <v>29.1</v>
      </c>
      <c r="N865" t="str">
        <f>IF(I865="Rob","Robusta",IF(I865="Exc","Excelsa",IF(I865="Ara","Arabica",IF(I865="Lib","Liberica",""))))</f>
        <v>Liberica</v>
      </c>
      <c r="O865" t="str">
        <f t="shared" si="27"/>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INDEX(products!$A$1:$G$49,MATCH($D866,products!$A$1:$A$49,0),MATCH(orders!I$1,products!$A$1:$G$1,0))</f>
        <v>Rob</v>
      </c>
      <c r="J866" t="str">
        <f>INDEX(products!$A$1:$G$49,MATCH($D866,products!$A$1:$A$49,0),MATCH(orders!J$1,products!$A$1:$G$1,0))</f>
        <v>L</v>
      </c>
      <c r="K866" s="4">
        <f>INDEX(products!$A$1:$G$49,MATCH($D866,products!$A$1:$A$49,0),MATCH(orders!K$1,products!$A$1:$G$1,0))</f>
        <v>0.2</v>
      </c>
      <c r="L866" s="5">
        <f>INDEX(products!$A$1:$G$49,MATCH($D866,products!$A$1:$A$49,0),MATCH(orders!L$1,products!$A$1:$G$1,0))</f>
        <v>3.5849999999999995</v>
      </c>
      <c r="M866" s="5">
        <f t="shared" si="26"/>
        <v>21.509999999999998</v>
      </c>
      <c r="N866" t="str">
        <f>IF(I866="Rob","Robusta",IF(I866="Exc","Excelsa",IF(I866="Ara","Arabica",IF(I866="Lib","Liberica",""))))</f>
        <v>Robusta</v>
      </c>
      <c r="O866" t="str">
        <f t="shared" si="27"/>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INDEX(products!$A$1:$G$49,MATCH($D867,products!$A$1:$A$49,0),MATCH(orders!I$1,products!$A$1:$G$1,0))</f>
        <v>Ara</v>
      </c>
      <c r="J867" t="str">
        <f>INDEX(products!$A$1:$G$49,MATCH($D867,products!$A$1:$A$49,0),MATCH(orders!J$1,products!$A$1:$G$1,0))</f>
        <v>M</v>
      </c>
      <c r="K867" s="4">
        <f>INDEX(products!$A$1:$G$49,MATCH($D867,products!$A$1:$A$49,0),MATCH(orders!K$1,products!$A$1:$G$1,0))</f>
        <v>0.5</v>
      </c>
      <c r="L867" s="5">
        <f>INDEX(products!$A$1:$G$49,MATCH($D867,products!$A$1:$A$49,0),MATCH(orders!L$1,products!$A$1:$G$1,0))</f>
        <v>6.75</v>
      </c>
      <c r="M867" s="5">
        <f t="shared" si="26"/>
        <v>6.75</v>
      </c>
      <c r="N867" t="str">
        <f>IF(I867="Rob","Robusta",IF(I867="Exc","Excelsa",IF(I867="Ara","Arabica",IF(I867="Lib","Liberica",""))))</f>
        <v>Arabica</v>
      </c>
      <c r="O867" t="str">
        <f t="shared" si="27"/>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INDEX(products!$A$1:$G$49,MATCH($D868,products!$A$1:$A$49,0),MATCH(orders!I$1,products!$A$1:$G$1,0))</f>
        <v>Ara</v>
      </c>
      <c r="J868" t="str">
        <f>INDEX(products!$A$1:$G$49,MATCH($D868,products!$A$1:$A$49,0),MATCH(orders!J$1,products!$A$1:$G$1,0))</f>
        <v>D</v>
      </c>
      <c r="K868" s="4">
        <f>INDEX(products!$A$1:$G$49,MATCH($D868,products!$A$1:$A$49,0),MATCH(orders!K$1,products!$A$1:$G$1,0))</f>
        <v>0.5</v>
      </c>
      <c r="L868" s="5">
        <f>INDEX(products!$A$1:$G$49,MATCH($D868,products!$A$1:$A$49,0),MATCH(orders!L$1,products!$A$1:$G$1,0))</f>
        <v>5.97</v>
      </c>
      <c r="M868" s="5">
        <f t="shared" si="26"/>
        <v>17.91</v>
      </c>
      <c r="N868" t="str">
        <f>IF(I868="Rob","Robusta",IF(I868="Exc","Excelsa",IF(I868="Ara","Arabica",IF(I868="Lib","Liberica",""))))</f>
        <v>Arabica</v>
      </c>
      <c r="O868" t="str">
        <f t="shared" si="27"/>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INDEX(products!$A$1:$G$49,MATCH($D869,products!$A$1:$A$49,0),MATCH(orders!I$1,products!$A$1:$G$1,0))</f>
        <v>Ara</v>
      </c>
      <c r="J869" t="str">
        <f>INDEX(products!$A$1:$G$49,MATCH($D869,products!$A$1:$A$49,0),MATCH(orders!J$1,products!$A$1:$G$1,0))</f>
        <v>L</v>
      </c>
      <c r="K869" s="4">
        <f>INDEX(products!$A$1:$G$49,MATCH($D869,products!$A$1:$A$49,0),MATCH(orders!K$1,products!$A$1:$G$1,0))</f>
        <v>2.5</v>
      </c>
      <c r="L869" s="5">
        <f>INDEX(products!$A$1:$G$49,MATCH($D869,products!$A$1:$A$49,0),MATCH(orders!L$1,products!$A$1:$G$1,0))</f>
        <v>29.784999999999997</v>
      </c>
      <c r="M869" s="5">
        <f t="shared" si="26"/>
        <v>29.784999999999997</v>
      </c>
      <c r="N869" t="str">
        <f>IF(I869="Rob","Robusta",IF(I869="Exc","Excelsa",IF(I869="Ara","Arabica",IF(I869="Lib","Liberica",""))))</f>
        <v>Arabica</v>
      </c>
      <c r="O869" t="str">
        <f t="shared" si="27"/>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INDEX(products!$A$1:$G$49,MATCH($D870,products!$A$1:$A$49,0),MATCH(orders!I$1,products!$A$1:$G$1,0))</f>
        <v>Exc</v>
      </c>
      <c r="J870" t="str">
        <f>INDEX(products!$A$1:$G$49,MATCH($D870,products!$A$1:$A$49,0),MATCH(orders!J$1,products!$A$1:$G$1,0))</f>
        <v>M</v>
      </c>
      <c r="K870" s="4">
        <f>INDEX(products!$A$1:$G$49,MATCH($D870,products!$A$1:$A$49,0),MATCH(orders!K$1,products!$A$1:$G$1,0))</f>
        <v>0.5</v>
      </c>
      <c r="L870" s="5">
        <f>INDEX(products!$A$1:$G$49,MATCH($D870,products!$A$1:$A$49,0),MATCH(orders!L$1,products!$A$1:$G$1,0))</f>
        <v>8.25</v>
      </c>
      <c r="M870" s="5">
        <f t="shared" si="26"/>
        <v>41.25</v>
      </c>
      <c r="N870" t="str">
        <f>IF(I870="Rob","Robusta",IF(I870="Exc","Excelsa",IF(I870="Ara","Arabica",IF(I870="Lib","Liberica",""))))</f>
        <v>Excelsa</v>
      </c>
      <c r="O870" t="str">
        <f t="shared" si="27"/>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INDEX(products!$A$1:$G$49,MATCH($D871,products!$A$1:$A$49,0),MATCH(orders!I$1,products!$A$1:$G$1,0))</f>
        <v>Rob</v>
      </c>
      <c r="J871" t="str">
        <f>INDEX(products!$A$1:$G$49,MATCH($D871,products!$A$1:$A$49,0),MATCH(orders!J$1,products!$A$1:$G$1,0))</f>
        <v>M</v>
      </c>
      <c r="K871" s="4">
        <f>INDEX(products!$A$1:$G$49,MATCH($D871,products!$A$1:$A$49,0),MATCH(orders!K$1,products!$A$1:$G$1,0))</f>
        <v>0.5</v>
      </c>
      <c r="L871" s="5">
        <f>INDEX(products!$A$1:$G$49,MATCH($D871,products!$A$1:$A$49,0),MATCH(orders!L$1,products!$A$1:$G$1,0))</f>
        <v>5.97</v>
      </c>
      <c r="M871" s="5">
        <f t="shared" si="26"/>
        <v>17.91</v>
      </c>
      <c r="N871" t="str">
        <f>IF(I871="Rob","Robusta",IF(I871="Exc","Excelsa",IF(I871="Ara","Arabica",IF(I871="Lib","Liberica",""))))</f>
        <v>Robusta</v>
      </c>
      <c r="O871" t="str">
        <f t="shared" si="27"/>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INDEX(products!$A$1:$G$49,MATCH($D872,products!$A$1:$A$49,0),MATCH(orders!I$1,products!$A$1:$G$1,0))</f>
        <v>Exc</v>
      </c>
      <c r="J872" t="str">
        <f>INDEX(products!$A$1:$G$49,MATCH($D872,products!$A$1:$A$49,0),MATCH(orders!J$1,products!$A$1:$G$1,0))</f>
        <v>D</v>
      </c>
      <c r="K872" s="4">
        <f>INDEX(products!$A$1:$G$49,MATCH($D872,products!$A$1:$A$49,0),MATCH(orders!K$1,products!$A$1:$G$1,0))</f>
        <v>0.5</v>
      </c>
      <c r="L872" s="5">
        <f>INDEX(products!$A$1:$G$49,MATCH($D872,products!$A$1:$A$49,0),MATCH(orders!L$1,products!$A$1:$G$1,0))</f>
        <v>7.29</v>
      </c>
      <c r="M872" s="5">
        <f t="shared" si="26"/>
        <v>7.29</v>
      </c>
      <c r="N872" t="str">
        <f>IF(I872="Rob","Robusta",IF(I872="Exc","Excelsa",IF(I872="Ara","Arabica",IF(I872="Lib","Liberica",""))))</f>
        <v>Excelsa</v>
      </c>
      <c r="O872" t="str">
        <f t="shared" si="27"/>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INDEX(products!$A$1:$G$49,MATCH($D873,products!$A$1:$A$49,0),MATCH(orders!I$1,products!$A$1:$G$1,0))</f>
        <v>Exc</v>
      </c>
      <c r="J873" t="str">
        <f>INDEX(products!$A$1:$G$49,MATCH($D873,products!$A$1:$A$49,0),MATCH(orders!J$1,products!$A$1:$G$1,0))</f>
        <v>L</v>
      </c>
      <c r="K873" s="4">
        <f>INDEX(products!$A$1:$G$49,MATCH($D873,products!$A$1:$A$49,0),MATCH(orders!K$1,products!$A$1:$G$1,0))</f>
        <v>1</v>
      </c>
      <c r="L873" s="5">
        <f>INDEX(products!$A$1:$G$49,MATCH($D873,products!$A$1:$A$49,0),MATCH(orders!L$1,products!$A$1:$G$1,0))</f>
        <v>14.85</v>
      </c>
      <c r="M873" s="5">
        <f t="shared" si="26"/>
        <v>29.7</v>
      </c>
      <c r="N873" t="str">
        <f>IF(I873="Rob","Robusta",IF(I873="Exc","Excelsa",IF(I873="Ara","Arabica",IF(I873="Lib","Liberica",""))))</f>
        <v>Excelsa</v>
      </c>
      <c r="O873" t="str">
        <f t="shared" si="27"/>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INDEX(products!$A$1:$G$49,MATCH($D874,products!$A$1:$A$49,0),MATCH(orders!I$1,products!$A$1:$G$1,0))</f>
        <v>Ara</v>
      </c>
      <c r="J874" t="str">
        <f>INDEX(products!$A$1:$G$49,MATCH($D874,products!$A$1:$A$49,0),MATCH(orders!J$1,products!$A$1:$G$1,0))</f>
        <v>M</v>
      </c>
      <c r="K874" s="4">
        <f>INDEX(products!$A$1:$G$49,MATCH($D874,products!$A$1:$A$49,0),MATCH(orders!K$1,products!$A$1:$G$1,0))</f>
        <v>1</v>
      </c>
      <c r="L874" s="5">
        <f>INDEX(products!$A$1:$G$49,MATCH($D874,products!$A$1:$A$49,0),MATCH(orders!L$1,products!$A$1:$G$1,0))</f>
        <v>11.25</v>
      </c>
      <c r="M874" s="5">
        <f t="shared" si="26"/>
        <v>22.5</v>
      </c>
      <c r="N874" t="str">
        <f>IF(I874="Rob","Robusta",IF(I874="Exc","Excelsa",IF(I874="Ara","Arabica",IF(I874="Lib","Liberica",""))))</f>
        <v>Arabica</v>
      </c>
      <c r="O874" t="str">
        <f t="shared" si="27"/>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INDEX(products!$A$1:$G$49,MATCH($D875,products!$A$1:$A$49,0),MATCH(orders!I$1,products!$A$1:$G$1,0))</f>
        <v>Rob</v>
      </c>
      <c r="J875" t="str">
        <f>INDEX(products!$A$1:$G$49,MATCH($D875,products!$A$1:$A$49,0),MATCH(orders!J$1,products!$A$1:$G$1,0))</f>
        <v>M</v>
      </c>
      <c r="K875" s="4">
        <f>INDEX(products!$A$1:$G$49,MATCH($D875,products!$A$1:$A$49,0),MATCH(orders!K$1,products!$A$1:$G$1,0))</f>
        <v>0.2</v>
      </c>
      <c r="L875" s="5">
        <f>INDEX(products!$A$1:$G$49,MATCH($D875,products!$A$1:$A$49,0),MATCH(orders!L$1,products!$A$1:$G$1,0))</f>
        <v>2.9849999999999999</v>
      </c>
      <c r="M875" s="5">
        <f t="shared" si="26"/>
        <v>11.94</v>
      </c>
      <c r="N875" t="str">
        <f>IF(I875="Rob","Robusta",IF(I875="Exc","Excelsa",IF(I875="Ara","Arabica",IF(I875="Lib","Liberica",""))))</f>
        <v>Robusta</v>
      </c>
      <c r="O875" t="str">
        <f t="shared" si="27"/>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INDEX(products!$A$1:$G$49,MATCH($D876,products!$A$1:$A$49,0),MATCH(orders!I$1,products!$A$1:$G$1,0))</f>
        <v>Ara</v>
      </c>
      <c r="J876" t="str">
        <f>INDEX(products!$A$1:$G$49,MATCH($D876,products!$A$1:$A$49,0),MATCH(orders!J$1,products!$A$1:$G$1,0))</f>
        <v>L</v>
      </c>
      <c r="K876" s="4">
        <f>INDEX(products!$A$1:$G$49,MATCH($D876,products!$A$1:$A$49,0),MATCH(orders!K$1,products!$A$1:$G$1,0))</f>
        <v>1</v>
      </c>
      <c r="L876" s="5">
        <f>INDEX(products!$A$1:$G$49,MATCH($D876,products!$A$1:$A$49,0),MATCH(orders!L$1,products!$A$1:$G$1,0))</f>
        <v>12.95</v>
      </c>
      <c r="M876" s="5">
        <f t="shared" si="26"/>
        <v>25.9</v>
      </c>
      <c r="N876" t="str">
        <f>IF(I876="Rob","Robusta",IF(I876="Exc","Excelsa",IF(I876="Ara","Arabica",IF(I876="Lib","Liberica",""))))</f>
        <v>Arabica</v>
      </c>
      <c r="O876" t="str">
        <f t="shared" si="27"/>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INDEX(products!$A$1:$G$49,MATCH($D877,products!$A$1:$A$49,0),MATCH(orders!I$1,products!$A$1:$G$1,0))</f>
        <v>Lib</v>
      </c>
      <c r="J877" t="str">
        <f>INDEX(products!$A$1:$G$49,MATCH($D877,products!$A$1:$A$49,0),MATCH(orders!J$1,products!$A$1:$G$1,0))</f>
        <v>M</v>
      </c>
      <c r="K877" s="4">
        <f>INDEX(products!$A$1:$G$49,MATCH($D877,products!$A$1:$A$49,0),MATCH(orders!K$1,products!$A$1:$G$1,0))</f>
        <v>0.5</v>
      </c>
      <c r="L877" s="5">
        <f>INDEX(products!$A$1:$G$49,MATCH($D877,products!$A$1:$A$49,0),MATCH(orders!L$1,products!$A$1:$G$1,0))</f>
        <v>8.73</v>
      </c>
      <c r="M877" s="5">
        <f t="shared" si="26"/>
        <v>43.650000000000006</v>
      </c>
      <c r="N877" t="str">
        <f>IF(I877="Rob","Robusta",IF(I877="Exc","Excelsa",IF(I877="Ara","Arabica",IF(I877="Lib","Liberica",""))))</f>
        <v>Liberica</v>
      </c>
      <c r="O877" t="str">
        <f t="shared" si="27"/>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INDEX(products!$A$1:$G$49,MATCH($D878,products!$A$1:$A$49,0),MATCH(orders!I$1,products!$A$1:$G$1,0))</f>
        <v>Ara</v>
      </c>
      <c r="J878" t="str">
        <f>INDEX(products!$A$1:$G$49,MATCH($D878,products!$A$1:$A$49,0),MATCH(orders!J$1,products!$A$1:$G$1,0))</f>
        <v>L</v>
      </c>
      <c r="K878" s="4">
        <f>INDEX(products!$A$1:$G$49,MATCH($D878,products!$A$1:$A$49,0),MATCH(orders!K$1,products!$A$1:$G$1,0))</f>
        <v>0.5</v>
      </c>
      <c r="L878" s="5">
        <f>INDEX(products!$A$1:$G$49,MATCH($D878,products!$A$1:$A$49,0),MATCH(orders!L$1,products!$A$1:$G$1,0))</f>
        <v>7.77</v>
      </c>
      <c r="M878" s="5">
        <f t="shared" si="26"/>
        <v>46.62</v>
      </c>
      <c r="N878" t="str">
        <f>IF(I878="Rob","Robusta",IF(I878="Exc","Excelsa",IF(I878="Ara","Arabica",IF(I878="Lib","Liberica",""))))</f>
        <v>Arabica</v>
      </c>
      <c r="O878" t="str">
        <f t="shared" si="27"/>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INDEX(products!$A$1:$G$49,MATCH($D879,products!$A$1:$A$49,0),MATCH(orders!I$1,products!$A$1:$G$1,0))</f>
        <v>Lib</v>
      </c>
      <c r="J879" t="str">
        <f>INDEX(products!$A$1:$G$49,MATCH($D879,products!$A$1:$A$49,0),MATCH(orders!J$1,products!$A$1:$G$1,0))</f>
        <v>L</v>
      </c>
      <c r="K879" s="4">
        <f>INDEX(products!$A$1:$G$49,MATCH($D879,products!$A$1:$A$49,0),MATCH(orders!K$1,products!$A$1:$G$1,0))</f>
        <v>0.5</v>
      </c>
      <c r="L879" s="5">
        <f>INDEX(products!$A$1:$G$49,MATCH($D879,products!$A$1:$A$49,0),MATCH(orders!L$1,products!$A$1:$G$1,0))</f>
        <v>9.51</v>
      </c>
      <c r="M879" s="5">
        <f t="shared" si="26"/>
        <v>28.53</v>
      </c>
      <c r="N879" t="str">
        <f>IF(I879="Rob","Robusta",IF(I879="Exc","Excelsa",IF(I879="Ara","Arabica",IF(I879="Lib","Liberica",""))))</f>
        <v>Liberica</v>
      </c>
      <c r="O879" t="str">
        <f t="shared" si="27"/>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INDEX(products!$A$1:$G$49,MATCH($D880,products!$A$1:$A$49,0),MATCH(orders!I$1,products!$A$1:$G$1,0))</f>
        <v>Rob</v>
      </c>
      <c r="J880" t="str">
        <f>INDEX(products!$A$1:$G$49,MATCH($D880,products!$A$1:$A$49,0),MATCH(orders!J$1,products!$A$1:$G$1,0))</f>
        <v>L</v>
      </c>
      <c r="K880" s="4">
        <f>INDEX(products!$A$1:$G$49,MATCH($D880,products!$A$1:$A$49,0),MATCH(orders!K$1,products!$A$1:$G$1,0))</f>
        <v>2.5</v>
      </c>
      <c r="L880" s="5">
        <f>INDEX(products!$A$1:$G$49,MATCH($D880,products!$A$1:$A$49,0),MATCH(orders!L$1,products!$A$1:$G$1,0))</f>
        <v>27.484999999999996</v>
      </c>
      <c r="M880" s="5">
        <f t="shared" si="26"/>
        <v>27.484999999999996</v>
      </c>
      <c r="N880" t="str">
        <f>IF(I880="Rob","Robusta",IF(I880="Exc","Excelsa",IF(I880="Ara","Arabica",IF(I880="Lib","Liberica",""))))</f>
        <v>Robusta</v>
      </c>
      <c r="O880" t="str">
        <f t="shared" si="27"/>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INDEX(products!$A$1:$G$49,MATCH($D881,products!$A$1:$A$49,0),MATCH(orders!I$1,products!$A$1:$G$1,0))</f>
        <v>Exc</v>
      </c>
      <c r="J881" t="str">
        <f>INDEX(products!$A$1:$G$49,MATCH($D881,products!$A$1:$A$49,0),MATCH(orders!J$1,products!$A$1:$G$1,0))</f>
        <v>D</v>
      </c>
      <c r="K881" s="4">
        <f>INDEX(products!$A$1:$G$49,MATCH($D881,products!$A$1:$A$49,0),MATCH(orders!K$1,products!$A$1:$G$1,0))</f>
        <v>0.2</v>
      </c>
      <c r="L881" s="5">
        <f>INDEX(products!$A$1:$G$49,MATCH($D881,products!$A$1:$A$49,0),MATCH(orders!L$1,products!$A$1:$G$1,0))</f>
        <v>3.645</v>
      </c>
      <c r="M881" s="5">
        <f t="shared" si="26"/>
        <v>10.935</v>
      </c>
      <c r="N881" t="str">
        <f>IF(I881="Rob","Robusta",IF(I881="Exc","Excelsa",IF(I881="Ara","Arabica",IF(I881="Lib","Liberica",""))))</f>
        <v>Excelsa</v>
      </c>
      <c r="O881" t="str">
        <f t="shared" si="27"/>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INDEX(products!$A$1:$G$49,MATCH($D882,products!$A$1:$A$49,0),MATCH(orders!I$1,products!$A$1:$G$1,0))</f>
        <v>Rob</v>
      </c>
      <c r="J882" t="str">
        <f>INDEX(products!$A$1:$G$49,MATCH($D882,products!$A$1:$A$49,0),MATCH(orders!J$1,products!$A$1:$G$1,0))</f>
        <v>L</v>
      </c>
      <c r="K882" s="4">
        <f>INDEX(products!$A$1:$G$49,MATCH($D882,products!$A$1:$A$49,0),MATCH(orders!K$1,products!$A$1:$G$1,0))</f>
        <v>0.2</v>
      </c>
      <c r="L882" s="5">
        <f>INDEX(products!$A$1:$G$49,MATCH($D882,products!$A$1:$A$49,0),MATCH(orders!L$1,products!$A$1:$G$1,0))</f>
        <v>3.5849999999999995</v>
      </c>
      <c r="M882" s="5">
        <f t="shared" si="26"/>
        <v>7.169999999999999</v>
      </c>
      <c r="N882" t="str">
        <f>IF(I882="Rob","Robusta",IF(I882="Exc","Excelsa",IF(I882="Ara","Arabica",IF(I882="Lib","Liberica",""))))</f>
        <v>Robusta</v>
      </c>
      <c r="O882" t="str">
        <f t="shared" si="27"/>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INDEX(products!$A$1:$G$49,MATCH($D883,products!$A$1:$A$49,0),MATCH(orders!I$1,products!$A$1:$G$1,0))</f>
        <v>Ara</v>
      </c>
      <c r="J883" t="str">
        <f>INDEX(products!$A$1:$G$49,MATCH($D883,products!$A$1:$A$49,0),MATCH(orders!J$1,products!$A$1:$G$1,0))</f>
        <v>L</v>
      </c>
      <c r="K883" s="4">
        <f>INDEX(products!$A$1:$G$49,MATCH($D883,products!$A$1:$A$49,0),MATCH(orders!K$1,products!$A$1:$G$1,0))</f>
        <v>0.2</v>
      </c>
      <c r="L883" s="5">
        <f>INDEX(products!$A$1:$G$49,MATCH($D883,products!$A$1:$A$49,0),MATCH(orders!L$1,products!$A$1:$G$1,0))</f>
        <v>3.8849999999999998</v>
      </c>
      <c r="M883" s="5">
        <f t="shared" si="26"/>
        <v>23.31</v>
      </c>
      <c r="N883" t="str">
        <f>IF(I883="Rob","Robusta",IF(I883="Exc","Excelsa",IF(I883="Ara","Arabica",IF(I883="Lib","Liberica",""))))</f>
        <v>Arabica</v>
      </c>
      <c r="O883" t="str">
        <f t="shared" si="27"/>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INDEX(products!$A$1:$G$49,MATCH($D884,products!$A$1:$A$49,0),MATCH(orders!I$1,products!$A$1:$G$1,0))</f>
        <v>Ara</v>
      </c>
      <c r="J884" t="str">
        <f>INDEX(products!$A$1:$G$49,MATCH($D884,products!$A$1:$A$49,0),MATCH(orders!J$1,products!$A$1:$G$1,0))</f>
        <v>D</v>
      </c>
      <c r="K884" s="4">
        <f>INDEX(products!$A$1:$G$49,MATCH($D884,products!$A$1:$A$49,0),MATCH(orders!K$1,products!$A$1:$G$1,0))</f>
        <v>2.5</v>
      </c>
      <c r="L884" s="5">
        <f>INDEX(products!$A$1:$G$49,MATCH($D884,products!$A$1:$A$49,0),MATCH(orders!L$1,products!$A$1:$G$1,0))</f>
        <v>22.884999999999998</v>
      </c>
      <c r="M884" s="5">
        <f t="shared" si="26"/>
        <v>114.42499999999998</v>
      </c>
      <c r="N884" t="str">
        <f>IF(I884="Rob","Robusta",IF(I884="Exc","Excelsa",IF(I884="Ara","Arabica",IF(I884="Lib","Liberica",""))))</f>
        <v>Arabica</v>
      </c>
      <c r="O884" t="str">
        <f t="shared" si="27"/>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INDEX(products!$A$1:$G$49,MATCH($D885,products!$A$1:$A$49,0),MATCH(orders!I$1,products!$A$1:$G$1,0))</f>
        <v>Ara</v>
      </c>
      <c r="J885" t="str">
        <f>INDEX(products!$A$1:$G$49,MATCH($D885,products!$A$1:$A$49,0),MATCH(orders!J$1,products!$A$1:$G$1,0))</f>
        <v>M</v>
      </c>
      <c r="K885" s="4">
        <f>INDEX(products!$A$1:$G$49,MATCH($D885,products!$A$1:$A$49,0),MATCH(orders!K$1,products!$A$1:$G$1,0))</f>
        <v>2.5</v>
      </c>
      <c r="L885" s="5">
        <f>INDEX(products!$A$1:$G$49,MATCH($D885,products!$A$1:$A$49,0),MATCH(orders!L$1,products!$A$1:$G$1,0))</f>
        <v>25.874999999999996</v>
      </c>
      <c r="M885" s="5">
        <f t="shared" si="26"/>
        <v>77.624999999999986</v>
      </c>
      <c r="N885" t="str">
        <f>IF(I885="Rob","Robusta",IF(I885="Exc","Excelsa",IF(I885="Ara","Arabica",IF(I885="Lib","Liberica",""))))</f>
        <v>Arabica</v>
      </c>
      <c r="O885" t="str">
        <f t="shared" si="27"/>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INDEX(products!$A$1:$G$49,MATCH($D886,products!$A$1:$A$49,0),MATCH(orders!I$1,products!$A$1:$G$1,0))</f>
        <v>Rob</v>
      </c>
      <c r="J886" t="str">
        <f>INDEX(products!$A$1:$G$49,MATCH($D886,products!$A$1:$A$49,0),MATCH(orders!J$1,products!$A$1:$G$1,0))</f>
        <v>D</v>
      </c>
      <c r="K886" s="4">
        <f>INDEX(products!$A$1:$G$49,MATCH($D886,products!$A$1:$A$49,0),MATCH(orders!K$1,products!$A$1:$G$1,0))</f>
        <v>0.5</v>
      </c>
      <c r="L886" s="5">
        <f>INDEX(products!$A$1:$G$49,MATCH($D886,products!$A$1:$A$49,0),MATCH(orders!L$1,products!$A$1:$G$1,0))</f>
        <v>5.3699999999999992</v>
      </c>
      <c r="M886" s="5">
        <f t="shared" si="26"/>
        <v>5.3699999999999992</v>
      </c>
      <c r="N886" t="str">
        <f>IF(I886="Rob","Robusta",IF(I886="Exc","Excelsa",IF(I886="Ara","Arabica",IF(I886="Lib","Liberica",""))))</f>
        <v>Robusta</v>
      </c>
      <c r="O886" t="str">
        <f t="shared" si="27"/>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INDEX(products!$A$1:$G$49,MATCH($D887,products!$A$1:$A$49,0),MATCH(orders!I$1,products!$A$1:$G$1,0))</f>
        <v>Rob</v>
      </c>
      <c r="J887" t="str">
        <f>INDEX(products!$A$1:$G$49,MATCH($D887,products!$A$1:$A$49,0),MATCH(orders!J$1,products!$A$1:$G$1,0))</f>
        <v>D</v>
      </c>
      <c r="K887" s="4">
        <f>INDEX(products!$A$1:$G$49,MATCH($D887,products!$A$1:$A$49,0),MATCH(orders!K$1,products!$A$1:$G$1,0))</f>
        <v>2.5</v>
      </c>
      <c r="L887" s="5">
        <f>INDEX(products!$A$1:$G$49,MATCH($D887,products!$A$1:$A$49,0),MATCH(orders!L$1,products!$A$1:$G$1,0))</f>
        <v>20.584999999999997</v>
      </c>
      <c r="M887" s="5">
        <f t="shared" si="26"/>
        <v>123.50999999999999</v>
      </c>
      <c r="N887" t="str">
        <f>IF(I887="Rob","Robusta",IF(I887="Exc","Excelsa",IF(I887="Ara","Arabica",IF(I887="Lib","Liberica",""))))</f>
        <v>Robusta</v>
      </c>
      <c r="O887" t="str">
        <f t="shared" si="27"/>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INDEX(products!$A$1:$G$49,MATCH($D888,products!$A$1:$A$49,0),MATCH(orders!I$1,products!$A$1:$G$1,0))</f>
        <v>Lib</v>
      </c>
      <c r="J888" t="str">
        <f>INDEX(products!$A$1:$G$49,MATCH($D888,products!$A$1:$A$49,0),MATCH(orders!J$1,products!$A$1:$G$1,0))</f>
        <v>M</v>
      </c>
      <c r="K888" s="4">
        <f>INDEX(products!$A$1:$G$49,MATCH($D888,products!$A$1:$A$49,0),MATCH(orders!K$1,products!$A$1:$G$1,0))</f>
        <v>0.5</v>
      </c>
      <c r="L888" s="5">
        <f>INDEX(products!$A$1:$G$49,MATCH($D888,products!$A$1:$A$49,0),MATCH(orders!L$1,products!$A$1:$G$1,0))</f>
        <v>8.73</v>
      </c>
      <c r="M888" s="5">
        <f t="shared" si="26"/>
        <v>17.46</v>
      </c>
      <c r="N888" t="str">
        <f>IF(I888="Rob","Robusta",IF(I888="Exc","Excelsa",IF(I888="Ara","Arabica",IF(I888="Lib","Liberica",""))))</f>
        <v>Liberica</v>
      </c>
      <c r="O888" t="str">
        <f t="shared" si="27"/>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INDEX(products!$A$1:$G$49,MATCH($D889,products!$A$1:$A$49,0),MATCH(orders!I$1,products!$A$1:$G$1,0))</f>
        <v>Exc</v>
      </c>
      <c r="J889" t="str">
        <f>INDEX(products!$A$1:$G$49,MATCH($D889,products!$A$1:$A$49,0),MATCH(orders!J$1,products!$A$1:$G$1,0))</f>
        <v>L</v>
      </c>
      <c r="K889" s="4">
        <f>INDEX(products!$A$1:$G$49,MATCH($D889,products!$A$1:$A$49,0),MATCH(orders!K$1,products!$A$1:$G$1,0))</f>
        <v>0.2</v>
      </c>
      <c r="L889" s="5">
        <f>INDEX(products!$A$1:$G$49,MATCH($D889,products!$A$1:$A$49,0),MATCH(orders!L$1,products!$A$1:$G$1,0))</f>
        <v>4.4550000000000001</v>
      </c>
      <c r="M889" s="5">
        <f t="shared" si="26"/>
        <v>13.365</v>
      </c>
      <c r="N889" t="str">
        <f>IF(I889="Rob","Robusta",IF(I889="Exc","Excelsa",IF(I889="Ara","Arabica",IF(I889="Lib","Liberica",""))))</f>
        <v>Excelsa</v>
      </c>
      <c r="O889" t="str">
        <f t="shared" si="27"/>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INDEX(products!$A$1:$G$49,MATCH($D890,products!$A$1:$A$49,0),MATCH(orders!I$1,products!$A$1:$G$1,0))</f>
        <v>Ara</v>
      </c>
      <c r="J890" t="str">
        <f>INDEX(products!$A$1:$G$49,MATCH($D890,products!$A$1:$A$49,0),MATCH(orders!J$1,products!$A$1:$G$1,0))</f>
        <v>L</v>
      </c>
      <c r="K890" s="4">
        <f>INDEX(products!$A$1:$G$49,MATCH($D890,products!$A$1:$A$49,0),MATCH(orders!K$1,products!$A$1:$G$1,0))</f>
        <v>0.2</v>
      </c>
      <c r="L890" s="5">
        <f>INDEX(products!$A$1:$G$49,MATCH($D890,products!$A$1:$A$49,0),MATCH(orders!L$1,products!$A$1:$G$1,0))</f>
        <v>3.8849999999999998</v>
      </c>
      <c r="M890" s="5">
        <f t="shared" si="26"/>
        <v>7.77</v>
      </c>
      <c r="N890" t="str">
        <f>IF(I890="Rob","Robusta",IF(I890="Exc","Excelsa",IF(I890="Ara","Arabica",IF(I890="Lib","Liberica",""))))</f>
        <v>Arabica</v>
      </c>
      <c r="O890" t="str">
        <f t="shared" si="27"/>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INDEX(products!$A$1:$G$49,MATCH($D891,products!$A$1:$A$49,0),MATCH(orders!I$1,products!$A$1:$G$1,0))</f>
        <v>Rob</v>
      </c>
      <c r="J891" t="str">
        <f>INDEX(products!$A$1:$G$49,MATCH($D891,products!$A$1:$A$49,0),MATCH(orders!J$1,products!$A$1:$G$1,0))</f>
        <v>D</v>
      </c>
      <c r="K891" s="4">
        <f>INDEX(products!$A$1:$G$49,MATCH($D891,products!$A$1:$A$49,0),MATCH(orders!K$1,products!$A$1:$G$1,0))</f>
        <v>0.2</v>
      </c>
      <c r="L891" s="5">
        <f>INDEX(products!$A$1:$G$49,MATCH($D891,products!$A$1:$A$49,0),MATCH(orders!L$1,products!$A$1:$G$1,0))</f>
        <v>2.6849999999999996</v>
      </c>
      <c r="M891" s="5">
        <f t="shared" si="26"/>
        <v>2.6849999999999996</v>
      </c>
      <c r="N891" t="str">
        <f>IF(I891="Rob","Robusta",IF(I891="Exc","Excelsa",IF(I891="Ara","Arabica",IF(I891="Lib","Liberica",""))))</f>
        <v>Robusta</v>
      </c>
      <c r="O891" t="str">
        <f t="shared" si="27"/>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INDEX(products!$A$1:$G$49,MATCH($D892,products!$A$1:$A$49,0),MATCH(orders!I$1,products!$A$1:$G$1,0))</f>
        <v>Rob</v>
      </c>
      <c r="J892" t="str">
        <f>INDEX(products!$A$1:$G$49,MATCH($D892,products!$A$1:$A$49,0),MATCH(orders!J$1,products!$A$1:$G$1,0))</f>
        <v>D</v>
      </c>
      <c r="K892" s="4">
        <f>INDEX(products!$A$1:$G$49,MATCH($D892,products!$A$1:$A$49,0),MATCH(orders!K$1,products!$A$1:$G$1,0))</f>
        <v>2.5</v>
      </c>
      <c r="L892" s="5">
        <f>INDEX(products!$A$1:$G$49,MATCH($D892,products!$A$1:$A$49,0),MATCH(orders!L$1,products!$A$1:$G$1,0))</f>
        <v>20.584999999999997</v>
      </c>
      <c r="M892" s="5">
        <f t="shared" si="26"/>
        <v>20.584999999999997</v>
      </c>
      <c r="N892" t="str">
        <f>IF(I892="Rob","Robusta",IF(I892="Exc","Excelsa",IF(I892="Ara","Arabica",IF(I892="Lib","Liberica",""))))</f>
        <v>Robusta</v>
      </c>
      <c r="O892" t="str">
        <f t="shared" si="27"/>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INDEX(products!$A$1:$G$49,MATCH($D893,products!$A$1:$A$49,0),MATCH(orders!I$1,products!$A$1:$G$1,0))</f>
        <v>Ara</v>
      </c>
      <c r="J893" t="str">
        <f>INDEX(products!$A$1:$G$49,MATCH($D893,products!$A$1:$A$49,0),MATCH(orders!J$1,products!$A$1:$G$1,0))</f>
        <v>D</v>
      </c>
      <c r="K893" s="4">
        <f>INDEX(products!$A$1:$G$49,MATCH($D893,products!$A$1:$A$49,0),MATCH(orders!K$1,products!$A$1:$G$1,0))</f>
        <v>2.5</v>
      </c>
      <c r="L893" s="5">
        <f>INDEX(products!$A$1:$G$49,MATCH($D893,products!$A$1:$A$49,0),MATCH(orders!L$1,products!$A$1:$G$1,0))</f>
        <v>22.884999999999998</v>
      </c>
      <c r="M893" s="5">
        <f t="shared" si="26"/>
        <v>114.42499999999998</v>
      </c>
      <c r="N893" t="str">
        <f>IF(I893="Rob","Robusta",IF(I893="Exc","Excelsa",IF(I893="Ara","Arabica",IF(I893="Lib","Liberica",""))))</f>
        <v>Arabica</v>
      </c>
      <c r="O893" t="str">
        <f t="shared" si="27"/>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INDEX(products!$A$1:$G$49,MATCH($D894,products!$A$1:$A$49,0),MATCH(orders!I$1,products!$A$1:$G$1,0))</f>
        <v>Exc</v>
      </c>
      <c r="J894" t="str">
        <f>INDEX(products!$A$1:$G$49,MATCH($D894,products!$A$1:$A$49,0),MATCH(orders!J$1,products!$A$1:$G$1,0))</f>
        <v>M</v>
      </c>
      <c r="K894" s="4">
        <f>INDEX(products!$A$1:$G$49,MATCH($D894,products!$A$1:$A$49,0),MATCH(orders!K$1,products!$A$1:$G$1,0))</f>
        <v>0.2</v>
      </c>
      <c r="L894" s="5">
        <f>INDEX(products!$A$1:$G$49,MATCH($D894,products!$A$1:$A$49,0),MATCH(orders!L$1,products!$A$1:$G$1,0))</f>
        <v>4.125</v>
      </c>
      <c r="M894" s="5">
        <f t="shared" si="26"/>
        <v>20.625</v>
      </c>
      <c r="N894" t="str">
        <f>IF(I894="Rob","Robusta",IF(I894="Exc","Excelsa",IF(I894="Ara","Arabica",IF(I894="Lib","Liberica",""))))</f>
        <v>Excelsa</v>
      </c>
      <c r="O894" t="str">
        <f t="shared" si="27"/>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INDEX(products!$A$1:$G$49,MATCH($D895,products!$A$1:$A$49,0),MATCH(orders!I$1,products!$A$1:$G$1,0))</f>
        <v>Lib</v>
      </c>
      <c r="J895" t="str">
        <f>INDEX(products!$A$1:$G$49,MATCH($D895,products!$A$1:$A$49,0),MATCH(orders!J$1,products!$A$1:$G$1,0))</f>
        <v>L</v>
      </c>
      <c r="K895" s="4">
        <f>INDEX(products!$A$1:$G$49,MATCH($D895,products!$A$1:$A$49,0),MATCH(orders!K$1,products!$A$1:$G$1,0))</f>
        <v>0.5</v>
      </c>
      <c r="L895" s="5">
        <f>INDEX(products!$A$1:$G$49,MATCH($D895,products!$A$1:$A$49,0),MATCH(orders!L$1,products!$A$1:$G$1,0))</f>
        <v>9.51</v>
      </c>
      <c r="M895" s="5">
        <f t="shared" si="26"/>
        <v>57.06</v>
      </c>
      <c r="N895" t="str">
        <f>IF(I895="Rob","Robusta",IF(I895="Exc","Excelsa",IF(I895="Ara","Arabica",IF(I895="Lib","Liberica",""))))</f>
        <v>Liberica</v>
      </c>
      <c r="O895" t="str">
        <f t="shared" si="27"/>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INDEX(products!$A$1:$G$49,MATCH($D896,products!$A$1:$A$49,0),MATCH(orders!I$1,products!$A$1:$G$1,0))</f>
        <v>Rob</v>
      </c>
      <c r="J896" t="str">
        <f>INDEX(products!$A$1:$G$49,MATCH($D896,products!$A$1:$A$49,0),MATCH(orders!J$1,products!$A$1:$G$1,0))</f>
        <v>D</v>
      </c>
      <c r="K896" s="4">
        <f>INDEX(products!$A$1:$G$49,MATCH($D896,products!$A$1:$A$49,0),MATCH(orders!K$1,products!$A$1:$G$1,0))</f>
        <v>2.5</v>
      </c>
      <c r="L896" s="5">
        <f>INDEX(products!$A$1:$G$49,MATCH($D896,products!$A$1:$A$49,0),MATCH(orders!L$1,products!$A$1:$G$1,0))</f>
        <v>20.584999999999997</v>
      </c>
      <c r="M896" s="5">
        <f t="shared" si="26"/>
        <v>82.339999999999989</v>
      </c>
      <c r="N896" t="str">
        <f>IF(I896="Rob","Robusta",IF(I896="Exc","Excelsa",IF(I896="Ara","Arabica",IF(I896="Lib","Liberica",""))))</f>
        <v>Robusta</v>
      </c>
      <c r="O896" t="str">
        <f t="shared" si="27"/>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INDEX(products!$A$1:$G$49,MATCH($D897,products!$A$1:$A$49,0),MATCH(orders!I$1,products!$A$1:$G$1,0))</f>
        <v>Exc</v>
      </c>
      <c r="J897" t="str">
        <f>INDEX(products!$A$1:$G$49,MATCH($D897,products!$A$1:$A$49,0),MATCH(orders!J$1,products!$A$1:$G$1,0))</f>
        <v>M</v>
      </c>
      <c r="K897" s="4">
        <f>INDEX(products!$A$1:$G$49,MATCH($D897,products!$A$1:$A$49,0),MATCH(orders!K$1,products!$A$1:$G$1,0))</f>
        <v>2.5</v>
      </c>
      <c r="L897" s="5">
        <f>INDEX(products!$A$1:$G$49,MATCH($D897,products!$A$1:$A$49,0),MATCH(orders!L$1,products!$A$1:$G$1,0))</f>
        <v>31.624999999999996</v>
      </c>
      <c r="M897" s="5">
        <f t="shared" si="26"/>
        <v>158.12499999999997</v>
      </c>
      <c r="N897" t="str">
        <f>IF(I897="Rob","Robusta",IF(I897="Exc","Excelsa",IF(I897="Ara","Arabica",IF(I897="Lib","Liberica",""))))</f>
        <v>Excelsa</v>
      </c>
      <c r="O897" t="str">
        <f t="shared" si="27"/>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INDEX(products!$A$1:$G$49,MATCH($D898,products!$A$1:$A$49,0),MATCH(orders!I$1,products!$A$1:$G$1,0))</f>
        <v>Rob</v>
      </c>
      <c r="J898" t="str">
        <f>INDEX(products!$A$1:$G$49,MATCH($D898,products!$A$1:$A$49,0),MATCH(orders!J$1,products!$A$1:$G$1,0))</f>
        <v>D</v>
      </c>
      <c r="K898" s="4">
        <f>INDEX(products!$A$1:$G$49,MATCH($D898,products!$A$1:$A$49,0),MATCH(orders!K$1,products!$A$1:$G$1,0))</f>
        <v>0.5</v>
      </c>
      <c r="L898" s="5">
        <f>INDEX(products!$A$1:$G$49,MATCH($D898,products!$A$1:$A$49,0),MATCH(orders!L$1,products!$A$1:$G$1,0))</f>
        <v>5.3699999999999992</v>
      </c>
      <c r="M898" s="5">
        <f t="shared" si="26"/>
        <v>32.22</v>
      </c>
      <c r="N898" t="str">
        <f>IF(I898="Rob","Robusta",IF(I898="Exc","Excelsa",IF(I898="Ara","Arabica",IF(I898="Lib","Liberica",""))))</f>
        <v>Robusta</v>
      </c>
      <c r="O898" t="str">
        <f t="shared" si="27"/>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INDEX(products!$A$1:$G$49,MATCH($D899,products!$A$1:$A$49,0),MATCH(orders!I$1,products!$A$1:$G$1,0))</f>
        <v>Exc</v>
      </c>
      <c r="J899" t="str">
        <f>INDEX(products!$A$1:$G$49,MATCH($D899,products!$A$1:$A$49,0),MATCH(orders!J$1,products!$A$1:$G$1,0))</f>
        <v>D</v>
      </c>
      <c r="K899" s="4">
        <f>INDEX(products!$A$1:$G$49,MATCH($D899,products!$A$1:$A$49,0),MATCH(orders!K$1,products!$A$1:$G$1,0))</f>
        <v>1</v>
      </c>
      <c r="L899" s="5">
        <f>INDEX(products!$A$1:$G$49,MATCH($D899,products!$A$1:$A$49,0),MATCH(orders!L$1,products!$A$1:$G$1,0))</f>
        <v>12.15</v>
      </c>
      <c r="M899" s="5">
        <f t="shared" ref="M899:M962" si="28">L899*E899</f>
        <v>24.3</v>
      </c>
      <c r="N899" t="str">
        <f>IF(I899="Rob","Robusta",IF(I899="Exc","Excelsa",IF(I899="Ara","Arabica",IF(I899="Lib","Liberica",""))))</f>
        <v>Excelsa</v>
      </c>
      <c r="O899" t="str">
        <f t="shared" ref="O899:O962" si="29">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INDEX(products!$A$1:$G$49,MATCH($D900,products!$A$1:$A$49,0),MATCH(orders!I$1,products!$A$1:$G$1,0))</f>
        <v>Rob</v>
      </c>
      <c r="J900" t="str">
        <f>INDEX(products!$A$1:$G$49,MATCH($D900,products!$A$1:$A$49,0),MATCH(orders!J$1,products!$A$1:$G$1,0))</f>
        <v>L</v>
      </c>
      <c r="K900" s="4">
        <f>INDEX(products!$A$1:$G$49,MATCH($D900,products!$A$1:$A$49,0),MATCH(orders!K$1,products!$A$1:$G$1,0))</f>
        <v>0.5</v>
      </c>
      <c r="L900" s="5">
        <f>INDEX(products!$A$1:$G$49,MATCH($D900,products!$A$1:$A$49,0),MATCH(orders!L$1,products!$A$1:$G$1,0))</f>
        <v>7.169999999999999</v>
      </c>
      <c r="M900" s="5">
        <f t="shared" si="28"/>
        <v>35.849999999999994</v>
      </c>
      <c r="N900" t="str">
        <f>IF(I900="Rob","Robusta",IF(I900="Exc","Excelsa",IF(I900="Ara","Arabica",IF(I900="Lib","Liberica",""))))</f>
        <v>Robusta</v>
      </c>
      <c r="O900" t="str">
        <f t="shared" si="29"/>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INDEX(products!$A$1:$G$49,MATCH($D901,products!$A$1:$A$49,0),MATCH(orders!I$1,products!$A$1:$G$1,0))</f>
        <v>Lib</v>
      </c>
      <c r="J901" t="str">
        <f>INDEX(products!$A$1:$G$49,MATCH($D901,products!$A$1:$A$49,0),MATCH(orders!J$1,products!$A$1:$G$1,0))</f>
        <v>M</v>
      </c>
      <c r="K901" s="4">
        <f>INDEX(products!$A$1:$G$49,MATCH($D901,products!$A$1:$A$49,0),MATCH(orders!K$1,products!$A$1:$G$1,0))</f>
        <v>1</v>
      </c>
      <c r="L901" s="5">
        <f>INDEX(products!$A$1:$G$49,MATCH($D901,products!$A$1:$A$49,0),MATCH(orders!L$1,products!$A$1:$G$1,0))</f>
        <v>14.55</v>
      </c>
      <c r="M901" s="5">
        <f t="shared" si="28"/>
        <v>72.75</v>
      </c>
      <c r="N901" t="str">
        <f>IF(I901="Rob","Robusta",IF(I901="Exc","Excelsa",IF(I901="Ara","Arabica",IF(I901="Lib","Liberica",""))))</f>
        <v>Liberica</v>
      </c>
      <c r="O901" t="str">
        <f t="shared" si="29"/>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INDEX(products!$A$1:$G$49,MATCH($D902,products!$A$1:$A$49,0),MATCH(orders!I$1,products!$A$1:$G$1,0))</f>
        <v>Lib</v>
      </c>
      <c r="J902" t="str">
        <f>INDEX(products!$A$1:$G$49,MATCH($D902,products!$A$1:$A$49,0),MATCH(orders!J$1,products!$A$1:$G$1,0))</f>
        <v>L</v>
      </c>
      <c r="K902" s="4">
        <f>INDEX(products!$A$1:$G$49,MATCH($D902,products!$A$1:$A$49,0),MATCH(orders!K$1,products!$A$1:$G$1,0))</f>
        <v>1</v>
      </c>
      <c r="L902" s="5">
        <f>INDEX(products!$A$1:$G$49,MATCH($D902,products!$A$1:$A$49,0),MATCH(orders!L$1,products!$A$1:$G$1,0))</f>
        <v>15.85</v>
      </c>
      <c r="M902" s="5">
        <f t="shared" si="28"/>
        <v>47.55</v>
      </c>
      <c r="N902" t="str">
        <f>IF(I902="Rob","Robusta",IF(I902="Exc","Excelsa",IF(I902="Ara","Arabica",IF(I902="Lib","Liberica",""))))</f>
        <v>Liberica</v>
      </c>
      <c r="O902" t="str">
        <f t="shared" si="29"/>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INDEX(products!$A$1:$G$49,MATCH($D903,products!$A$1:$A$49,0),MATCH(orders!I$1,products!$A$1:$G$1,0))</f>
        <v>Rob</v>
      </c>
      <c r="J903" t="str">
        <f>INDEX(products!$A$1:$G$49,MATCH($D903,products!$A$1:$A$49,0),MATCH(orders!J$1,products!$A$1:$G$1,0))</f>
        <v>L</v>
      </c>
      <c r="K903" s="4">
        <f>INDEX(products!$A$1:$G$49,MATCH($D903,products!$A$1:$A$49,0),MATCH(orders!K$1,products!$A$1:$G$1,0))</f>
        <v>0.2</v>
      </c>
      <c r="L903" s="5">
        <f>INDEX(products!$A$1:$G$49,MATCH($D903,products!$A$1:$A$49,0),MATCH(orders!L$1,products!$A$1:$G$1,0))</f>
        <v>3.5849999999999995</v>
      </c>
      <c r="M903" s="5">
        <f t="shared" si="28"/>
        <v>3.5849999999999995</v>
      </c>
      <c r="N903" t="str">
        <f>IF(I903="Rob","Robusta",IF(I903="Exc","Excelsa",IF(I903="Ara","Arabica",IF(I903="Lib","Liberica",""))))</f>
        <v>Robusta</v>
      </c>
      <c r="O903" t="str">
        <f t="shared" si="29"/>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INDEX(products!$A$1:$G$49,MATCH($D904,products!$A$1:$A$49,0),MATCH(orders!I$1,products!$A$1:$G$1,0))</f>
        <v>Exc</v>
      </c>
      <c r="J904" t="str">
        <f>INDEX(products!$A$1:$G$49,MATCH($D904,products!$A$1:$A$49,0),MATCH(orders!J$1,products!$A$1:$G$1,0))</f>
        <v>M</v>
      </c>
      <c r="K904" s="4">
        <f>INDEX(products!$A$1:$G$49,MATCH($D904,products!$A$1:$A$49,0),MATCH(orders!K$1,products!$A$1:$G$1,0))</f>
        <v>2.5</v>
      </c>
      <c r="L904" s="5">
        <f>INDEX(products!$A$1:$G$49,MATCH($D904,products!$A$1:$A$49,0),MATCH(orders!L$1,products!$A$1:$G$1,0))</f>
        <v>31.624999999999996</v>
      </c>
      <c r="M904" s="5">
        <f t="shared" si="28"/>
        <v>158.12499999999997</v>
      </c>
      <c r="N904" t="str">
        <f>IF(I904="Rob","Robusta",IF(I904="Exc","Excelsa",IF(I904="Ara","Arabica",IF(I904="Lib","Liberica",""))))</f>
        <v>Excelsa</v>
      </c>
      <c r="O904" t="str">
        <f t="shared" si="29"/>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INDEX(products!$A$1:$G$49,MATCH($D905,products!$A$1:$A$49,0),MATCH(orders!I$1,products!$A$1:$G$1,0))</f>
        <v>Lib</v>
      </c>
      <c r="J905" t="str">
        <f>INDEX(products!$A$1:$G$49,MATCH($D905,products!$A$1:$A$49,0),MATCH(orders!J$1,products!$A$1:$G$1,0))</f>
        <v>M</v>
      </c>
      <c r="K905" s="4">
        <f>INDEX(products!$A$1:$G$49,MATCH($D905,products!$A$1:$A$49,0),MATCH(orders!K$1,products!$A$1:$G$1,0))</f>
        <v>0.5</v>
      </c>
      <c r="L905" s="5">
        <f>INDEX(products!$A$1:$G$49,MATCH($D905,products!$A$1:$A$49,0),MATCH(orders!L$1,products!$A$1:$G$1,0))</f>
        <v>8.73</v>
      </c>
      <c r="M905" s="5">
        <f t="shared" si="28"/>
        <v>17.46</v>
      </c>
      <c r="N905" t="str">
        <f>IF(I905="Rob","Robusta",IF(I905="Exc","Excelsa",IF(I905="Ara","Arabica",IF(I905="Lib","Liberica",""))))</f>
        <v>Liberica</v>
      </c>
      <c r="O905" t="str">
        <f t="shared" si="29"/>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INDEX(products!$A$1:$G$49,MATCH($D906,products!$A$1:$A$49,0),MATCH(orders!I$1,products!$A$1:$G$1,0))</f>
        <v>Ara</v>
      </c>
      <c r="J906" t="str">
        <f>INDEX(products!$A$1:$G$49,MATCH($D906,products!$A$1:$A$49,0),MATCH(orders!J$1,products!$A$1:$G$1,0))</f>
        <v>L</v>
      </c>
      <c r="K906" s="4">
        <f>INDEX(products!$A$1:$G$49,MATCH($D906,products!$A$1:$A$49,0),MATCH(orders!K$1,products!$A$1:$G$1,0))</f>
        <v>2.5</v>
      </c>
      <c r="L906" s="5">
        <f>INDEX(products!$A$1:$G$49,MATCH($D906,products!$A$1:$A$49,0),MATCH(orders!L$1,products!$A$1:$G$1,0))</f>
        <v>29.784999999999997</v>
      </c>
      <c r="M906" s="5">
        <f t="shared" si="28"/>
        <v>148.92499999999998</v>
      </c>
      <c r="N906" t="str">
        <f>IF(I906="Rob","Robusta",IF(I906="Exc","Excelsa",IF(I906="Ara","Arabica",IF(I906="Lib","Liberica",""))))</f>
        <v>Arabica</v>
      </c>
      <c r="O906" t="str">
        <f t="shared" si="29"/>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INDEX(products!$A$1:$G$49,MATCH($D907,products!$A$1:$A$49,0),MATCH(orders!I$1,products!$A$1:$G$1,0))</f>
        <v>Ara</v>
      </c>
      <c r="J907" t="str">
        <f>INDEX(products!$A$1:$G$49,MATCH($D907,products!$A$1:$A$49,0),MATCH(orders!J$1,products!$A$1:$G$1,0))</f>
        <v>M</v>
      </c>
      <c r="K907" s="4">
        <f>INDEX(products!$A$1:$G$49,MATCH($D907,products!$A$1:$A$49,0),MATCH(orders!K$1,products!$A$1:$G$1,0))</f>
        <v>0.5</v>
      </c>
      <c r="L907" s="5">
        <f>INDEX(products!$A$1:$G$49,MATCH($D907,products!$A$1:$A$49,0),MATCH(orders!L$1,products!$A$1:$G$1,0))</f>
        <v>6.75</v>
      </c>
      <c r="M907" s="5">
        <f t="shared" si="28"/>
        <v>40.5</v>
      </c>
      <c r="N907" t="str">
        <f>IF(I907="Rob","Robusta",IF(I907="Exc","Excelsa",IF(I907="Ara","Arabica",IF(I907="Lib","Liberica",""))))</f>
        <v>Arabica</v>
      </c>
      <c r="O907" t="str">
        <f t="shared" si="29"/>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INDEX(products!$A$1:$G$49,MATCH($D908,products!$A$1:$A$49,0),MATCH(orders!I$1,products!$A$1:$G$1,0))</f>
        <v>Ara</v>
      </c>
      <c r="J908" t="str">
        <f>INDEX(products!$A$1:$G$49,MATCH($D908,products!$A$1:$A$49,0),MATCH(orders!J$1,products!$A$1:$G$1,0))</f>
        <v>M</v>
      </c>
      <c r="K908" s="4">
        <f>INDEX(products!$A$1:$G$49,MATCH($D908,products!$A$1:$A$49,0),MATCH(orders!K$1,products!$A$1:$G$1,0))</f>
        <v>0.5</v>
      </c>
      <c r="L908" s="5">
        <f>INDEX(products!$A$1:$G$49,MATCH($D908,products!$A$1:$A$49,0),MATCH(orders!L$1,products!$A$1:$G$1,0))</f>
        <v>6.75</v>
      </c>
      <c r="M908" s="5">
        <f t="shared" si="28"/>
        <v>27</v>
      </c>
      <c r="N908" t="str">
        <f>IF(I908="Rob","Robusta",IF(I908="Exc","Excelsa",IF(I908="Ara","Arabica",IF(I908="Lib","Liberica",""))))</f>
        <v>Arabica</v>
      </c>
      <c r="O908" t="str">
        <f t="shared" si="29"/>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INDEX(products!$A$1:$G$49,MATCH($D909,products!$A$1:$A$49,0),MATCH(orders!I$1,products!$A$1:$G$1,0))</f>
        <v>Lib</v>
      </c>
      <c r="J909" t="str">
        <f>INDEX(products!$A$1:$G$49,MATCH($D909,products!$A$1:$A$49,0),MATCH(orders!J$1,products!$A$1:$G$1,0))</f>
        <v>D</v>
      </c>
      <c r="K909" s="4">
        <f>INDEX(products!$A$1:$G$49,MATCH($D909,products!$A$1:$A$49,0),MATCH(orders!K$1,products!$A$1:$G$1,0))</f>
        <v>1</v>
      </c>
      <c r="L909" s="5">
        <f>INDEX(products!$A$1:$G$49,MATCH($D909,products!$A$1:$A$49,0),MATCH(orders!L$1,products!$A$1:$G$1,0))</f>
        <v>12.95</v>
      </c>
      <c r="M909" s="5">
        <f t="shared" si="28"/>
        <v>38.849999999999994</v>
      </c>
      <c r="N909" t="str">
        <f>IF(I909="Rob","Robusta",IF(I909="Exc","Excelsa",IF(I909="Ara","Arabica",IF(I909="Lib","Liberica",""))))</f>
        <v>Liberica</v>
      </c>
      <c r="O909" t="str">
        <f t="shared" si="29"/>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INDEX(products!$A$1:$G$49,MATCH($D910,products!$A$1:$A$49,0),MATCH(orders!I$1,products!$A$1:$G$1,0))</f>
        <v>Rob</v>
      </c>
      <c r="J910" t="str">
        <f>INDEX(products!$A$1:$G$49,MATCH($D910,products!$A$1:$A$49,0),MATCH(orders!J$1,products!$A$1:$G$1,0))</f>
        <v>L</v>
      </c>
      <c r="K910" s="4">
        <f>INDEX(products!$A$1:$G$49,MATCH($D910,products!$A$1:$A$49,0),MATCH(orders!K$1,products!$A$1:$G$1,0))</f>
        <v>1</v>
      </c>
      <c r="L910" s="5">
        <f>INDEX(products!$A$1:$G$49,MATCH($D910,products!$A$1:$A$49,0),MATCH(orders!L$1,products!$A$1:$G$1,0))</f>
        <v>11.95</v>
      </c>
      <c r="M910" s="5">
        <f t="shared" si="28"/>
        <v>59.75</v>
      </c>
      <c r="N910" t="str">
        <f>IF(I910="Rob","Robusta",IF(I910="Exc","Excelsa",IF(I910="Ara","Arabica",IF(I910="Lib","Liberica",""))))</f>
        <v>Robusta</v>
      </c>
      <c r="O910" t="str">
        <f t="shared" si="29"/>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INDEX(products!$A$1:$G$49,MATCH($D911,products!$A$1:$A$49,0),MATCH(orders!I$1,products!$A$1:$G$1,0))</f>
        <v>Rob</v>
      </c>
      <c r="J911" t="str">
        <f>INDEX(products!$A$1:$G$49,MATCH($D911,products!$A$1:$A$49,0),MATCH(orders!J$1,products!$A$1:$G$1,0))</f>
        <v>L</v>
      </c>
      <c r="K911" s="4">
        <f>INDEX(products!$A$1:$G$49,MATCH($D911,products!$A$1:$A$49,0),MATCH(orders!K$1,products!$A$1:$G$1,0))</f>
        <v>0.2</v>
      </c>
      <c r="L911" s="5">
        <f>INDEX(products!$A$1:$G$49,MATCH($D911,products!$A$1:$A$49,0),MATCH(orders!L$1,products!$A$1:$G$1,0))</f>
        <v>3.5849999999999995</v>
      </c>
      <c r="M911" s="5">
        <f t="shared" si="28"/>
        <v>10.754999999999999</v>
      </c>
      <c r="N911" t="str">
        <f>IF(I911="Rob","Robusta",IF(I911="Exc","Excelsa",IF(I911="Ara","Arabica",IF(I911="Lib","Liberica",""))))</f>
        <v>Robusta</v>
      </c>
      <c r="O911" t="str">
        <f t="shared" si="29"/>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INDEX(products!$A$1:$G$49,MATCH($D912,products!$A$1:$A$49,0),MATCH(orders!I$1,products!$A$1:$G$1,0))</f>
        <v>Ara</v>
      </c>
      <c r="J912" t="str">
        <f>INDEX(products!$A$1:$G$49,MATCH($D912,products!$A$1:$A$49,0),MATCH(orders!J$1,products!$A$1:$G$1,0))</f>
        <v>D</v>
      </c>
      <c r="K912" s="4">
        <f>INDEX(products!$A$1:$G$49,MATCH($D912,products!$A$1:$A$49,0),MATCH(orders!K$1,products!$A$1:$G$1,0))</f>
        <v>2.5</v>
      </c>
      <c r="L912" s="5">
        <f>INDEX(products!$A$1:$G$49,MATCH($D912,products!$A$1:$A$49,0),MATCH(orders!L$1,products!$A$1:$G$1,0))</f>
        <v>22.884999999999998</v>
      </c>
      <c r="M912" s="5">
        <f t="shared" si="28"/>
        <v>91.539999999999992</v>
      </c>
      <c r="N912" t="str">
        <f>IF(I912="Rob","Robusta",IF(I912="Exc","Excelsa",IF(I912="Ara","Arabica",IF(I912="Lib","Liberica",""))))</f>
        <v>Arabica</v>
      </c>
      <c r="O912" t="str">
        <f t="shared" si="29"/>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INDEX(products!$A$1:$G$49,MATCH($D913,products!$A$1:$A$49,0),MATCH(orders!I$1,products!$A$1:$G$1,0))</f>
        <v>Ara</v>
      </c>
      <c r="J913" t="str">
        <f>INDEX(products!$A$1:$G$49,MATCH($D913,products!$A$1:$A$49,0),MATCH(orders!J$1,products!$A$1:$G$1,0))</f>
        <v>M</v>
      </c>
      <c r="K913" s="4">
        <f>INDEX(products!$A$1:$G$49,MATCH($D913,products!$A$1:$A$49,0),MATCH(orders!K$1,products!$A$1:$G$1,0))</f>
        <v>1</v>
      </c>
      <c r="L913" s="5">
        <f>INDEX(products!$A$1:$G$49,MATCH($D913,products!$A$1:$A$49,0),MATCH(orders!L$1,products!$A$1:$G$1,0))</f>
        <v>11.25</v>
      </c>
      <c r="M913" s="5">
        <f t="shared" si="28"/>
        <v>45</v>
      </c>
      <c r="N913" t="str">
        <f>IF(I913="Rob","Robusta",IF(I913="Exc","Excelsa",IF(I913="Ara","Arabica",IF(I913="Lib","Liberica",""))))</f>
        <v>Arabica</v>
      </c>
      <c r="O913" t="str">
        <f t="shared" si="29"/>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INDEX(products!$A$1:$G$49,MATCH($D914,products!$A$1:$A$49,0),MATCH(orders!I$1,products!$A$1:$G$1,0))</f>
        <v>Rob</v>
      </c>
      <c r="J914" t="str">
        <f>INDEX(products!$A$1:$G$49,MATCH($D914,products!$A$1:$A$49,0),MATCH(orders!J$1,products!$A$1:$G$1,0))</f>
        <v>M</v>
      </c>
      <c r="K914" s="4">
        <f>INDEX(products!$A$1:$G$49,MATCH($D914,products!$A$1:$A$49,0),MATCH(orders!K$1,products!$A$1:$G$1,0))</f>
        <v>2.5</v>
      </c>
      <c r="L914" s="5">
        <f>INDEX(products!$A$1:$G$49,MATCH($D914,products!$A$1:$A$49,0),MATCH(orders!L$1,products!$A$1:$G$1,0))</f>
        <v>22.884999999999998</v>
      </c>
      <c r="M914" s="5">
        <f t="shared" si="28"/>
        <v>137.31</v>
      </c>
      <c r="N914" t="str">
        <f>IF(I914="Rob","Robusta",IF(I914="Exc","Excelsa",IF(I914="Ara","Arabica",IF(I914="Lib","Liberica",""))))</f>
        <v>Robusta</v>
      </c>
      <c r="O914" t="str">
        <f t="shared" si="29"/>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INDEX(products!$A$1:$G$49,MATCH($D915,products!$A$1:$A$49,0),MATCH(orders!I$1,products!$A$1:$G$1,0))</f>
        <v>Ara</v>
      </c>
      <c r="J915" t="str">
        <f>INDEX(products!$A$1:$G$49,MATCH($D915,products!$A$1:$A$49,0),MATCH(orders!J$1,products!$A$1:$G$1,0))</f>
        <v>M</v>
      </c>
      <c r="K915" s="4">
        <f>INDEX(products!$A$1:$G$49,MATCH($D915,products!$A$1:$A$49,0),MATCH(orders!K$1,products!$A$1:$G$1,0))</f>
        <v>0.5</v>
      </c>
      <c r="L915" s="5">
        <f>INDEX(products!$A$1:$G$49,MATCH($D915,products!$A$1:$A$49,0),MATCH(orders!L$1,products!$A$1:$G$1,0))</f>
        <v>6.75</v>
      </c>
      <c r="M915" s="5">
        <f t="shared" si="28"/>
        <v>6.75</v>
      </c>
      <c r="N915" t="str">
        <f>IF(I915="Rob","Robusta",IF(I915="Exc","Excelsa",IF(I915="Ara","Arabica",IF(I915="Lib","Liberica",""))))</f>
        <v>Arabica</v>
      </c>
      <c r="O915" t="str">
        <f t="shared" si="29"/>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INDEX(products!$A$1:$G$49,MATCH($D916,products!$A$1:$A$49,0),MATCH(orders!I$1,products!$A$1:$G$1,0))</f>
        <v>Ara</v>
      </c>
      <c r="J916" t="str">
        <f>INDEX(products!$A$1:$G$49,MATCH($D916,products!$A$1:$A$49,0),MATCH(orders!J$1,products!$A$1:$G$1,0))</f>
        <v>M</v>
      </c>
      <c r="K916" s="4">
        <f>INDEX(products!$A$1:$G$49,MATCH($D916,products!$A$1:$A$49,0),MATCH(orders!K$1,products!$A$1:$G$1,0))</f>
        <v>1</v>
      </c>
      <c r="L916" s="5">
        <f>INDEX(products!$A$1:$G$49,MATCH($D916,products!$A$1:$A$49,0),MATCH(orders!L$1,products!$A$1:$G$1,0))</f>
        <v>11.25</v>
      </c>
      <c r="M916" s="5">
        <f t="shared" si="28"/>
        <v>45</v>
      </c>
      <c r="N916" t="str">
        <f>IF(I916="Rob","Robusta",IF(I916="Exc","Excelsa",IF(I916="Ara","Arabica",IF(I916="Lib","Liberica",""))))</f>
        <v>Arabica</v>
      </c>
      <c r="O916" t="str">
        <f t="shared" si="29"/>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INDEX(products!$A$1:$G$49,MATCH($D917,products!$A$1:$A$49,0),MATCH(orders!I$1,products!$A$1:$G$1,0))</f>
        <v>Exc</v>
      </c>
      <c r="J917" t="str">
        <f>INDEX(products!$A$1:$G$49,MATCH($D917,products!$A$1:$A$49,0),MATCH(orders!J$1,products!$A$1:$G$1,0))</f>
        <v>D</v>
      </c>
      <c r="K917" s="4">
        <f>INDEX(products!$A$1:$G$49,MATCH($D917,products!$A$1:$A$49,0),MATCH(orders!K$1,products!$A$1:$G$1,0))</f>
        <v>2.5</v>
      </c>
      <c r="L917" s="5">
        <f>INDEX(products!$A$1:$G$49,MATCH($D917,products!$A$1:$A$49,0),MATCH(orders!L$1,products!$A$1:$G$1,0))</f>
        <v>27.945</v>
      </c>
      <c r="M917" s="5">
        <f t="shared" si="28"/>
        <v>83.835000000000008</v>
      </c>
      <c r="N917" t="str">
        <f>IF(I917="Rob","Robusta",IF(I917="Exc","Excelsa",IF(I917="Ara","Arabica",IF(I917="Lib","Liberica",""))))</f>
        <v>Excelsa</v>
      </c>
      <c r="O917" t="str">
        <f t="shared" si="29"/>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INDEX(products!$A$1:$G$49,MATCH($D918,products!$A$1:$A$49,0),MATCH(orders!I$1,products!$A$1:$G$1,0))</f>
        <v>Exc</v>
      </c>
      <c r="J918" t="str">
        <f>INDEX(products!$A$1:$G$49,MATCH($D918,products!$A$1:$A$49,0),MATCH(orders!J$1,products!$A$1:$G$1,0))</f>
        <v>D</v>
      </c>
      <c r="K918" s="4">
        <f>INDEX(products!$A$1:$G$49,MATCH($D918,products!$A$1:$A$49,0),MATCH(orders!K$1,products!$A$1:$G$1,0))</f>
        <v>0.2</v>
      </c>
      <c r="L918" s="5">
        <f>INDEX(products!$A$1:$G$49,MATCH($D918,products!$A$1:$A$49,0),MATCH(orders!L$1,products!$A$1:$G$1,0))</f>
        <v>3.645</v>
      </c>
      <c r="M918" s="5">
        <f t="shared" si="28"/>
        <v>3.645</v>
      </c>
      <c r="N918" t="str">
        <f>IF(I918="Rob","Robusta",IF(I918="Exc","Excelsa",IF(I918="Ara","Arabica",IF(I918="Lib","Liberica",""))))</f>
        <v>Excelsa</v>
      </c>
      <c r="O918" t="str">
        <f t="shared" si="29"/>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INDEX(products!$A$1:$G$49,MATCH($D919,products!$A$1:$A$49,0),MATCH(orders!I$1,products!$A$1:$G$1,0))</f>
        <v>Ara</v>
      </c>
      <c r="J919" t="str">
        <f>INDEX(products!$A$1:$G$49,MATCH($D919,products!$A$1:$A$49,0),MATCH(orders!J$1,products!$A$1:$G$1,0))</f>
        <v>M</v>
      </c>
      <c r="K919" s="4">
        <f>INDEX(products!$A$1:$G$49,MATCH($D919,products!$A$1:$A$49,0),MATCH(orders!K$1,products!$A$1:$G$1,0))</f>
        <v>0.5</v>
      </c>
      <c r="L919" s="5">
        <f>INDEX(products!$A$1:$G$49,MATCH($D919,products!$A$1:$A$49,0),MATCH(orders!L$1,products!$A$1:$G$1,0))</f>
        <v>6.75</v>
      </c>
      <c r="M919" s="5">
        <f t="shared" si="28"/>
        <v>6.75</v>
      </c>
      <c r="N919" t="str">
        <f>IF(I919="Rob","Robusta",IF(I919="Exc","Excelsa",IF(I919="Ara","Arabica",IF(I919="Lib","Liberica",""))))</f>
        <v>Arabica</v>
      </c>
      <c r="O919" t="str">
        <f t="shared" si="29"/>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INDEX(products!$A$1:$G$49,MATCH($D920,products!$A$1:$A$49,0),MATCH(orders!I$1,products!$A$1:$G$1,0))</f>
        <v>Exc</v>
      </c>
      <c r="J920" t="str">
        <f>INDEX(products!$A$1:$G$49,MATCH($D920,products!$A$1:$A$49,0),MATCH(orders!J$1,products!$A$1:$G$1,0))</f>
        <v>D</v>
      </c>
      <c r="K920" s="4">
        <f>INDEX(products!$A$1:$G$49,MATCH($D920,products!$A$1:$A$49,0),MATCH(orders!K$1,products!$A$1:$G$1,0))</f>
        <v>0.5</v>
      </c>
      <c r="L920" s="5">
        <f>INDEX(products!$A$1:$G$49,MATCH($D920,products!$A$1:$A$49,0),MATCH(orders!L$1,products!$A$1:$G$1,0))</f>
        <v>7.29</v>
      </c>
      <c r="M920" s="5">
        <f t="shared" si="28"/>
        <v>21.87</v>
      </c>
      <c r="N920" t="str">
        <f>IF(I920="Rob","Robusta",IF(I920="Exc","Excelsa",IF(I920="Ara","Arabica",IF(I920="Lib","Liberica",""))))</f>
        <v>Excelsa</v>
      </c>
      <c r="O920" t="str">
        <f t="shared" si="29"/>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INDEX(products!$A$1:$G$49,MATCH($D921,products!$A$1:$A$49,0),MATCH(orders!I$1,products!$A$1:$G$1,0))</f>
        <v>Rob</v>
      </c>
      <c r="J921" t="str">
        <f>INDEX(products!$A$1:$G$49,MATCH($D921,products!$A$1:$A$49,0),MATCH(orders!J$1,products!$A$1:$G$1,0))</f>
        <v>D</v>
      </c>
      <c r="K921" s="4">
        <f>INDEX(products!$A$1:$G$49,MATCH($D921,products!$A$1:$A$49,0),MATCH(orders!K$1,products!$A$1:$G$1,0))</f>
        <v>0.2</v>
      </c>
      <c r="L921" s="5">
        <f>INDEX(products!$A$1:$G$49,MATCH($D921,products!$A$1:$A$49,0),MATCH(orders!L$1,products!$A$1:$G$1,0))</f>
        <v>2.6849999999999996</v>
      </c>
      <c r="M921" s="5">
        <f t="shared" si="28"/>
        <v>13.424999999999997</v>
      </c>
      <c r="N921" t="str">
        <f>IF(I921="Rob","Robusta",IF(I921="Exc","Excelsa",IF(I921="Ara","Arabica",IF(I921="Lib","Liberica",""))))</f>
        <v>Robusta</v>
      </c>
      <c r="O921" t="str">
        <f t="shared" si="29"/>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INDEX(products!$A$1:$G$49,MATCH($D922,products!$A$1:$A$49,0),MATCH(orders!I$1,products!$A$1:$G$1,0))</f>
        <v>Rob</v>
      </c>
      <c r="J922" t="str">
        <f>INDEX(products!$A$1:$G$49,MATCH($D922,products!$A$1:$A$49,0),MATCH(orders!J$1,products!$A$1:$G$1,0))</f>
        <v>D</v>
      </c>
      <c r="K922" s="4">
        <f>INDEX(products!$A$1:$G$49,MATCH($D922,products!$A$1:$A$49,0),MATCH(orders!K$1,products!$A$1:$G$1,0))</f>
        <v>2.5</v>
      </c>
      <c r="L922" s="5">
        <f>INDEX(products!$A$1:$G$49,MATCH($D922,products!$A$1:$A$49,0),MATCH(orders!L$1,products!$A$1:$G$1,0))</f>
        <v>20.584999999999997</v>
      </c>
      <c r="M922" s="5">
        <f t="shared" si="28"/>
        <v>123.50999999999999</v>
      </c>
      <c r="N922" t="str">
        <f>IF(I922="Rob","Robusta",IF(I922="Exc","Excelsa",IF(I922="Ara","Arabica",IF(I922="Lib","Liberica",""))))</f>
        <v>Robusta</v>
      </c>
      <c r="O922" t="str">
        <f t="shared" si="29"/>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INDEX(products!$A$1:$G$49,MATCH($D923,products!$A$1:$A$49,0),MATCH(orders!I$1,products!$A$1:$G$1,0))</f>
        <v>Lib</v>
      </c>
      <c r="J923" t="str">
        <f>INDEX(products!$A$1:$G$49,MATCH($D923,products!$A$1:$A$49,0),MATCH(orders!J$1,products!$A$1:$G$1,0))</f>
        <v>D</v>
      </c>
      <c r="K923" s="4">
        <f>INDEX(products!$A$1:$G$49,MATCH($D923,products!$A$1:$A$49,0),MATCH(orders!K$1,products!$A$1:$G$1,0))</f>
        <v>0.2</v>
      </c>
      <c r="L923" s="5">
        <f>INDEX(products!$A$1:$G$49,MATCH($D923,products!$A$1:$A$49,0),MATCH(orders!L$1,products!$A$1:$G$1,0))</f>
        <v>3.8849999999999998</v>
      </c>
      <c r="M923" s="5">
        <f t="shared" si="28"/>
        <v>7.77</v>
      </c>
      <c r="N923" t="str">
        <f>IF(I923="Rob","Robusta",IF(I923="Exc","Excelsa",IF(I923="Ara","Arabica",IF(I923="Lib","Liberica",""))))</f>
        <v>Liberica</v>
      </c>
      <c r="O923" t="str">
        <f t="shared" si="29"/>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INDEX(products!$A$1:$G$49,MATCH($D924,products!$A$1:$A$49,0),MATCH(orders!I$1,products!$A$1:$G$1,0))</f>
        <v>Ara</v>
      </c>
      <c r="J924" t="str">
        <f>INDEX(products!$A$1:$G$49,MATCH($D924,products!$A$1:$A$49,0),MATCH(orders!J$1,products!$A$1:$G$1,0))</f>
        <v>M</v>
      </c>
      <c r="K924" s="4">
        <f>INDEX(products!$A$1:$G$49,MATCH($D924,products!$A$1:$A$49,0),MATCH(orders!K$1,products!$A$1:$G$1,0))</f>
        <v>1</v>
      </c>
      <c r="L924" s="5">
        <f>INDEX(products!$A$1:$G$49,MATCH($D924,products!$A$1:$A$49,0),MATCH(orders!L$1,products!$A$1:$G$1,0))</f>
        <v>11.25</v>
      </c>
      <c r="M924" s="5">
        <f t="shared" si="28"/>
        <v>67.5</v>
      </c>
      <c r="N924" t="str">
        <f>IF(I924="Rob","Robusta",IF(I924="Exc","Excelsa",IF(I924="Ara","Arabica",IF(I924="Lib","Liberica",""))))</f>
        <v>Arabica</v>
      </c>
      <c r="O924" t="str">
        <f t="shared" si="29"/>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INDEX(products!$A$1:$G$49,MATCH($D925,products!$A$1:$A$49,0),MATCH(orders!I$1,products!$A$1:$G$1,0))</f>
        <v>Exc</v>
      </c>
      <c r="J925" t="str">
        <f>INDEX(products!$A$1:$G$49,MATCH($D925,products!$A$1:$A$49,0),MATCH(orders!J$1,products!$A$1:$G$1,0))</f>
        <v>D</v>
      </c>
      <c r="K925" s="4">
        <f>INDEX(products!$A$1:$G$49,MATCH($D925,products!$A$1:$A$49,0),MATCH(orders!K$1,products!$A$1:$G$1,0))</f>
        <v>2.5</v>
      </c>
      <c r="L925" s="5">
        <f>INDEX(products!$A$1:$G$49,MATCH($D925,products!$A$1:$A$49,0),MATCH(orders!L$1,products!$A$1:$G$1,0))</f>
        <v>27.945</v>
      </c>
      <c r="M925" s="5">
        <f t="shared" si="28"/>
        <v>27.945</v>
      </c>
      <c r="N925" t="str">
        <f>IF(I925="Rob","Robusta",IF(I925="Exc","Excelsa",IF(I925="Ara","Arabica",IF(I925="Lib","Liberica",""))))</f>
        <v>Excelsa</v>
      </c>
      <c r="O925" t="str">
        <f t="shared" si="29"/>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INDEX(products!$A$1:$G$49,MATCH($D926,products!$A$1:$A$49,0),MATCH(orders!I$1,products!$A$1:$G$1,0))</f>
        <v>Ara</v>
      </c>
      <c r="J926" t="str">
        <f>INDEX(products!$A$1:$G$49,MATCH($D926,products!$A$1:$A$49,0),MATCH(orders!J$1,products!$A$1:$G$1,0))</f>
        <v>L</v>
      </c>
      <c r="K926" s="4">
        <f>INDEX(products!$A$1:$G$49,MATCH($D926,products!$A$1:$A$49,0),MATCH(orders!K$1,products!$A$1:$G$1,0))</f>
        <v>2.5</v>
      </c>
      <c r="L926" s="5">
        <f>INDEX(products!$A$1:$G$49,MATCH($D926,products!$A$1:$A$49,0),MATCH(orders!L$1,products!$A$1:$G$1,0))</f>
        <v>29.784999999999997</v>
      </c>
      <c r="M926" s="5">
        <f t="shared" si="28"/>
        <v>89.35499999999999</v>
      </c>
      <c r="N926" t="str">
        <f>IF(I926="Rob","Robusta",IF(I926="Exc","Excelsa",IF(I926="Ara","Arabica",IF(I926="Lib","Liberica",""))))</f>
        <v>Arabica</v>
      </c>
      <c r="O926" t="str">
        <f t="shared" si="29"/>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INDEX(products!$A$1:$G$49,MATCH($D927,products!$A$1:$A$49,0),MATCH(orders!I$1,products!$A$1:$G$1,0))</f>
        <v>Ara</v>
      </c>
      <c r="J927" t="str">
        <f>INDEX(products!$A$1:$G$49,MATCH($D927,products!$A$1:$A$49,0),MATCH(orders!J$1,products!$A$1:$G$1,0))</f>
        <v>M</v>
      </c>
      <c r="K927" s="4">
        <f>INDEX(products!$A$1:$G$49,MATCH($D927,products!$A$1:$A$49,0),MATCH(orders!K$1,products!$A$1:$G$1,0))</f>
        <v>0.5</v>
      </c>
      <c r="L927" s="5">
        <f>INDEX(products!$A$1:$G$49,MATCH($D927,products!$A$1:$A$49,0),MATCH(orders!L$1,products!$A$1:$G$1,0))</f>
        <v>6.75</v>
      </c>
      <c r="M927" s="5">
        <f t="shared" si="28"/>
        <v>20.25</v>
      </c>
      <c r="N927" t="str">
        <f>IF(I927="Rob","Robusta",IF(I927="Exc","Excelsa",IF(I927="Ara","Arabica",IF(I927="Lib","Liberica",""))))</f>
        <v>Arabica</v>
      </c>
      <c r="O927" t="str">
        <f t="shared" si="29"/>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INDEX(products!$A$1:$G$49,MATCH($D928,products!$A$1:$A$49,0),MATCH(orders!I$1,products!$A$1:$G$1,0))</f>
        <v>Ara</v>
      </c>
      <c r="J928" t="str">
        <f>INDEX(products!$A$1:$G$49,MATCH($D928,products!$A$1:$A$49,0),MATCH(orders!J$1,products!$A$1:$G$1,0))</f>
        <v>M</v>
      </c>
      <c r="K928" s="4">
        <f>INDEX(products!$A$1:$G$49,MATCH($D928,products!$A$1:$A$49,0),MATCH(orders!K$1,products!$A$1:$G$1,0))</f>
        <v>0.5</v>
      </c>
      <c r="L928" s="5">
        <f>INDEX(products!$A$1:$G$49,MATCH($D928,products!$A$1:$A$49,0),MATCH(orders!L$1,products!$A$1:$G$1,0))</f>
        <v>6.75</v>
      </c>
      <c r="M928" s="5">
        <f t="shared" si="28"/>
        <v>33.75</v>
      </c>
      <c r="N928" t="str">
        <f>IF(I928="Rob","Robusta",IF(I928="Exc","Excelsa",IF(I928="Ara","Arabica",IF(I928="Lib","Liberica",""))))</f>
        <v>Arabica</v>
      </c>
      <c r="O928" t="str">
        <f t="shared" si="29"/>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INDEX(products!$A$1:$G$49,MATCH($D929,products!$A$1:$A$49,0),MATCH(orders!I$1,products!$A$1:$G$1,0))</f>
        <v>Exc</v>
      </c>
      <c r="J929" t="str">
        <f>INDEX(products!$A$1:$G$49,MATCH($D929,products!$A$1:$A$49,0),MATCH(orders!J$1,products!$A$1:$G$1,0))</f>
        <v>D</v>
      </c>
      <c r="K929" s="4">
        <f>INDEX(products!$A$1:$G$49,MATCH($D929,products!$A$1:$A$49,0),MATCH(orders!K$1,products!$A$1:$G$1,0))</f>
        <v>2.5</v>
      </c>
      <c r="L929" s="5">
        <f>INDEX(products!$A$1:$G$49,MATCH($D929,products!$A$1:$A$49,0),MATCH(orders!L$1,products!$A$1:$G$1,0))</f>
        <v>27.945</v>
      </c>
      <c r="M929" s="5">
        <f t="shared" si="28"/>
        <v>111.78</v>
      </c>
      <c r="N929" t="str">
        <f>IF(I929="Rob","Robusta",IF(I929="Exc","Excelsa",IF(I929="Ara","Arabica",IF(I929="Lib","Liberica",""))))</f>
        <v>Excelsa</v>
      </c>
      <c r="O929" t="str">
        <f t="shared" si="29"/>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INDEX(products!$A$1:$G$49,MATCH($D930,products!$A$1:$A$49,0),MATCH(orders!I$1,products!$A$1:$G$1,0))</f>
        <v>Exc</v>
      </c>
      <c r="J930" t="str">
        <f>INDEX(products!$A$1:$G$49,MATCH($D930,products!$A$1:$A$49,0),MATCH(orders!J$1,products!$A$1:$G$1,0))</f>
        <v>M</v>
      </c>
      <c r="K930" s="4">
        <f>INDEX(products!$A$1:$G$49,MATCH($D930,products!$A$1:$A$49,0),MATCH(orders!K$1,products!$A$1:$G$1,0))</f>
        <v>2.5</v>
      </c>
      <c r="L930" s="5">
        <f>INDEX(products!$A$1:$G$49,MATCH($D930,products!$A$1:$A$49,0),MATCH(orders!L$1,products!$A$1:$G$1,0))</f>
        <v>31.624999999999996</v>
      </c>
      <c r="M930" s="5">
        <f t="shared" si="28"/>
        <v>63.249999999999993</v>
      </c>
      <c r="N930" t="str">
        <f>IF(I930="Rob","Robusta",IF(I930="Exc","Excelsa",IF(I930="Ara","Arabica",IF(I930="Lib","Liberica",""))))</f>
        <v>Excelsa</v>
      </c>
      <c r="O930" t="str">
        <f t="shared" si="29"/>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INDEX(products!$A$1:$G$49,MATCH($D931,products!$A$1:$A$49,0),MATCH(orders!I$1,products!$A$1:$G$1,0))</f>
        <v>Exc</v>
      </c>
      <c r="J931" t="str">
        <f>INDEX(products!$A$1:$G$49,MATCH($D931,products!$A$1:$A$49,0),MATCH(orders!J$1,products!$A$1:$G$1,0))</f>
        <v>L</v>
      </c>
      <c r="K931" s="4">
        <f>INDEX(products!$A$1:$G$49,MATCH($D931,products!$A$1:$A$49,0),MATCH(orders!K$1,products!$A$1:$G$1,0))</f>
        <v>0.2</v>
      </c>
      <c r="L931" s="5">
        <f>INDEX(products!$A$1:$G$49,MATCH($D931,products!$A$1:$A$49,0),MATCH(orders!L$1,products!$A$1:$G$1,0))</f>
        <v>4.4550000000000001</v>
      </c>
      <c r="M931" s="5">
        <f t="shared" si="28"/>
        <v>8.91</v>
      </c>
      <c r="N931" t="str">
        <f>IF(I931="Rob","Robusta",IF(I931="Exc","Excelsa",IF(I931="Ara","Arabica",IF(I931="Lib","Liberica",""))))</f>
        <v>Excelsa</v>
      </c>
      <c r="O931" t="str">
        <f t="shared" si="29"/>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INDEX(products!$A$1:$G$49,MATCH($D932,products!$A$1:$A$49,0),MATCH(orders!I$1,products!$A$1:$G$1,0))</f>
        <v>Exc</v>
      </c>
      <c r="J932" t="str">
        <f>INDEX(products!$A$1:$G$49,MATCH($D932,products!$A$1:$A$49,0),MATCH(orders!J$1,products!$A$1:$G$1,0))</f>
        <v>D</v>
      </c>
      <c r="K932" s="4">
        <f>INDEX(products!$A$1:$G$49,MATCH($D932,products!$A$1:$A$49,0),MATCH(orders!K$1,products!$A$1:$G$1,0))</f>
        <v>1</v>
      </c>
      <c r="L932" s="5">
        <f>INDEX(products!$A$1:$G$49,MATCH($D932,products!$A$1:$A$49,0),MATCH(orders!L$1,products!$A$1:$G$1,0))</f>
        <v>12.15</v>
      </c>
      <c r="M932" s="5">
        <f t="shared" si="28"/>
        <v>12.15</v>
      </c>
      <c r="N932" t="str">
        <f>IF(I932="Rob","Robusta",IF(I932="Exc","Excelsa",IF(I932="Ara","Arabica",IF(I932="Lib","Liberica",""))))</f>
        <v>Excelsa</v>
      </c>
      <c r="O932" t="str">
        <f t="shared" si="29"/>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INDEX(products!$A$1:$G$49,MATCH($D933,products!$A$1:$A$49,0),MATCH(orders!I$1,products!$A$1:$G$1,0))</f>
        <v>Ara</v>
      </c>
      <c r="J933" t="str">
        <f>INDEX(products!$A$1:$G$49,MATCH($D933,products!$A$1:$A$49,0),MATCH(orders!J$1,products!$A$1:$G$1,0))</f>
        <v>D</v>
      </c>
      <c r="K933" s="4">
        <f>INDEX(products!$A$1:$G$49,MATCH($D933,products!$A$1:$A$49,0),MATCH(orders!K$1,products!$A$1:$G$1,0))</f>
        <v>0.5</v>
      </c>
      <c r="L933" s="5">
        <f>INDEX(products!$A$1:$G$49,MATCH($D933,products!$A$1:$A$49,0),MATCH(orders!L$1,products!$A$1:$G$1,0))</f>
        <v>5.97</v>
      </c>
      <c r="M933" s="5">
        <f t="shared" si="28"/>
        <v>23.88</v>
      </c>
      <c r="N933" t="str">
        <f>IF(I933="Rob","Robusta",IF(I933="Exc","Excelsa",IF(I933="Ara","Arabica",IF(I933="Lib","Liberica",""))))</f>
        <v>Arabica</v>
      </c>
      <c r="O933" t="str">
        <f t="shared" si="29"/>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INDEX(products!$A$1:$G$49,MATCH($D934,products!$A$1:$A$49,0),MATCH(orders!I$1,products!$A$1:$G$1,0))</f>
        <v>Exc</v>
      </c>
      <c r="J934" t="str">
        <f>INDEX(products!$A$1:$G$49,MATCH($D934,products!$A$1:$A$49,0),MATCH(orders!J$1,products!$A$1:$G$1,0))</f>
        <v>M</v>
      </c>
      <c r="K934" s="4">
        <f>INDEX(products!$A$1:$G$49,MATCH($D934,products!$A$1:$A$49,0),MATCH(orders!K$1,products!$A$1:$G$1,0))</f>
        <v>1</v>
      </c>
      <c r="L934" s="5">
        <f>INDEX(products!$A$1:$G$49,MATCH($D934,products!$A$1:$A$49,0),MATCH(orders!L$1,products!$A$1:$G$1,0))</f>
        <v>13.75</v>
      </c>
      <c r="M934" s="5">
        <f t="shared" si="28"/>
        <v>55</v>
      </c>
      <c r="N934" t="str">
        <f>IF(I934="Rob","Robusta",IF(I934="Exc","Excelsa",IF(I934="Ara","Arabica",IF(I934="Lib","Liberica",""))))</f>
        <v>Excelsa</v>
      </c>
      <c r="O934" t="str">
        <f t="shared" si="29"/>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INDEX(products!$A$1:$G$49,MATCH($D935,products!$A$1:$A$49,0),MATCH(orders!I$1,products!$A$1:$G$1,0))</f>
        <v>Rob</v>
      </c>
      <c r="J935" t="str">
        <f>INDEX(products!$A$1:$G$49,MATCH($D935,products!$A$1:$A$49,0),MATCH(orders!J$1,products!$A$1:$G$1,0))</f>
        <v>D</v>
      </c>
      <c r="K935" s="4">
        <f>INDEX(products!$A$1:$G$49,MATCH($D935,products!$A$1:$A$49,0),MATCH(orders!K$1,products!$A$1:$G$1,0))</f>
        <v>1</v>
      </c>
      <c r="L935" s="5">
        <f>INDEX(products!$A$1:$G$49,MATCH($D935,products!$A$1:$A$49,0),MATCH(orders!L$1,products!$A$1:$G$1,0))</f>
        <v>8.9499999999999993</v>
      </c>
      <c r="M935" s="5">
        <f t="shared" si="28"/>
        <v>26.849999999999998</v>
      </c>
      <c r="N935" t="str">
        <f>IF(I935="Rob","Robusta",IF(I935="Exc","Excelsa",IF(I935="Ara","Arabica",IF(I935="Lib","Liberica",""))))</f>
        <v>Robusta</v>
      </c>
      <c r="O935" t="str">
        <f t="shared" si="29"/>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INDEX(products!$A$1:$G$49,MATCH($D936,products!$A$1:$A$49,0),MATCH(orders!I$1,products!$A$1:$G$1,0))</f>
        <v>Rob</v>
      </c>
      <c r="J936" t="str">
        <f>INDEX(products!$A$1:$G$49,MATCH($D936,products!$A$1:$A$49,0),MATCH(orders!J$1,products!$A$1:$G$1,0))</f>
        <v>M</v>
      </c>
      <c r="K936" s="4">
        <f>INDEX(products!$A$1:$G$49,MATCH($D936,products!$A$1:$A$49,0),MATCH(orders!K$1,products!$A$1:$G$1,0))</f>
        <v>2.5</v>
      </c>
      <c r="L936" s="5">
        <f>INDEX(products!$A$1:$G$49,MATCH($D936,products!$A$1:$A$49,0),MATCH(orders!L$1,products!$A$1:$G$1,0))</f>
        <v>22.884999999999998</v>
      </c>
      <c r="M936" s="5">
        <f t="shared" si="28"/>
        <v>114.42499999999998</v>
      </c>
      <c r="N936" t="str">
        <f>IF(I936="Rob","Robusta",IF(I936="Exc","Excelsa",IF(I936="Ara","Arabica",IF(I936="Lib","Liberica",""))))</f>
        <v>Robusta</v>
      </c>
      <c r="O936" t="str">
        <f t="shared" si="29"/>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INDEX(products!$A$1:$G$49,MATCH($D937,products!$A$1:$A$49,0),MATCH(orders!I$1,products!$A$1:$G$1,0))</f>
        <v>Ara</v>
      </c>
      <c r="J937" t="str">
        <f>INDEX(products!$A$1:$G$49,MATCH($D937,products!$A$1:$A$49,0),MATCH(orders!J$1,products!$A$1:$G$1,0))</f>
        <v>M</v>
      </c>
      <c r="K937" s="4">
        <f>INDEX(products!$A$1:$G$49,MATCH($D937,products!$A$1:$A$49,0),MATCH(orders!K$1,products!$A$1:$G$1,0))</f>
        <v>2.5</v>
      </c>
      <c r="L937" s="5">
        <f>INDEX(products!$A$1:$G$49,MATCH($D937,products!$A$1:$A$49,0),MATCH(orders!L$1,products!$A$1:$G$1,0))</f>
        <v>25.874999999999996</v>
      </c>
      <c r="M937" s="5">
        <f t="shared" si="28"/>
        <v>155.24999999999997</v>
      </c>
      <c r="N937" t="str">
        <f>IF(I937="Rob","Robusta",IF(I937="Exc","Excelsa",IF(I937="Ara","Arabica",IF(I937="Lib","Liberica",""))))</f>
        <v>Arabica</v>
      </c>
      <c r="O937" t="str">
        <f t="shared" si="29"/>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INDEX(products!$A$1:$G$49,MATCH($D938,products!$A$1:$A$49,0),MATCH(orders!I$1,products!$A$1:$G$1,0))</f>
        <v>Lib</v>
      </c>
      <c r="J938" t="str">
        <f>INDEX(products!$A$1:$G$49,MATCH($D938,products!$A$1:$A$49,0),MATCH(orders!J$1,products!$A$1:$G$1,0))</f>
        <v>D</v>
      </c>
      <c r="K938" s="4">
        <f>INDEX(products!$A$1:$G$49,MATCH($D938,products!$A$1:$A$49,0),MATCH(orders!K$1,products!$A$1:$G$1,0))</f>
        <v>0.5</v>
      </c>
      <c r="L938" s="5">
        <f>INDEX(products!$A$1:$G$49,MATCH($D938,products!$A$1:$A$49,0),MATCH(orders!L$1,products!$A$1:$G$1,0))</f>
        <v>7.77</v>
      </c>
      <c r="M938" s="5">
        <f t="shared" si="28"/>
        <v>23.31</v>
      </c>
      <c r="N938" t="str">
        <f>IF(I938="Rob","Robusta",IF(I938="Exc","Excelsa",IF(I938="Ara","Arabica",IF(I938="Lib","Liberica",""))))</f>
        <v>Liberica</v>
      </c>
      <c r="O938" t="str">
        <f t="shared" si="29"/>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INDEX(products!$A$1:$G$49,MATCH($D939,products!$A$1:$A$49,0),MATCH(orders!I$1,products!$A$1:$G$1,0))</f>
        <v>Rob</v>
      </c>
      <c r="J939" t="str">
        <f>INDEX(products!$A$1:$G$49,MATCH($D939,products!$A$1:$A$49,0),MATCH(orders!J$1,products!$A$1:$G$1,0))</f>
        <v>M</v>
      </c>
      <c r="K939" s="4">
        <f>INDEX(products!$A$1:$G$49,MATCH($D939,products!$A$1:$A$49,0),MATCH(orders!K$1,products!$A$1:$G$1,0))</f>
        <v>2.5</v>
      </c>
      <c r="L939" s="5">
        <f>INDEX(products!$A$1:$G$49,MATCH($D939,products!$A$1:$A$49,0),MATCH(orders!L$1,products!$A$1:$G$1,0))</f>
        <v>22.884999999999998</v>
      </c>
      <c r="M939" s="5">
        <f t="shared" si="28"/>
        <v>91.539999999999992</v>
      </c>
      <c r="N939" t="str">
        <f>IF(I939="Rob","Robusta",IF(I939="Exc","Excelsa",IF(I939="Ara","Arabica",IF(I939="Lib","Liberica",""))))</f>
        <v>Robusta</v>
      </c>
      <c r="O939" t="str">
        <f t="shared" si="29"/>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INDEX(products!$A$1:$G$49,MATCH($D940,products!$A$1:$A$49,0),MATCH(orders!I$1,products!$A$1:$G$1,0))</f>
        <v>Exc</v>
      </c>
      <c r="J940" t="str">
        <f>INDEX(products!$A$1:$G$49,MATCH($D940,products!$A$1:$A$49,0),MATCH(orders!J$1,products!$A$1:$G$1,0))</f>
        <v>L</v>
      </c>
      <c r="K940" s="4">
        <f>INDEX(products!$A$1:$G$49,MATCH($D940,products!$A$1:$A$49,0),MATCH(orders!K$1,products!$A$1:$G$1,0))</f>
        <v>1</v>
      </c>
      <c r="L940" s="5">
        <f>INDEX(products!$A$1:$G$49,MATCH($D940,products!$A$1:$A$49,0),MATCH(orders!L$1,products!$A$1:$G$1,0))</f>
        <v>14.85</v>
      </c>
      <c r="M940" s="5">
        <f t="shared" si="28"/>
        <v>74.25</v>
      </c>
      <c r="N940" t="str">
        <f>IF(I940="Rob","Robusta",IF(I940="Exc","Excelsa",IF(I940="Ara","Arabica",IF(I940="Lib","Liberica",""))))</f>
        <v>Excelsa</v>
      </c>
      <c r="O940" t="str">
        <f t="shared" si="29"/>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INDEX(products!$A$1:$G$49,MATCH($D941,products!$A$1:$A$49,0),MATCH(orders!I$1,products!$A$1:$G$1,0))</f>
        <v>Lib</v>
      </c>
      <c r="J941" t="str">
        <f>INDEX(products!$A$1:$G$49,MATCH($D941,products!$A$1:$A$49,0),MATCH(orders!J$1,products!$A$1:$G$1,0))</f>
        <v>L</v>
      </c>
      <c r="K941" s="4">
        <f>INDEX(products!$A$1:$G$49,MATCH($D941,products!$A$1:$A$49,0),MATCH(orders!K$1,products!$A$1:$G$1,0))</f>
        <v>0.2</v>
      </c>
      <c r="L941" s="5">
        <f>INDEX(products!$A$1:$G$49,MATCH($D941,products!$A$1:$A$49,0),MATCH(orders!L$1,products!$A$1:$G$1,0))</f>
        <v>4.7549999999999999</v>
      </c>
      <c r="M941" s="5">
        <f t="shared" si="28"/>
        <v>28.53</v>
      </c>
      <c r="N941" t="str">
        <f>IF(I941="Rob","Robusta",IF(I941="Exc","Excelsa",IF(I941="Ara","Arabica",IF(I941="Lib","Liberica",""))))</f>
        <v>Liberica</v>
      </c>
      <c r="O941" t="str">
        <f t="shared" si="29"/>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INDEX(products!$A$1:$G$49,MATCH($D942,products!$A$1:$A$49,0),MATCH(orders!I$1,products!$A$1:$G$1,0))</f>
        <v>Rob</v>
      </c>
      <c r="J942" t="str">
        <f>INDEX(products!$A$1:$G$49,MATCH($D942,products!$A$1:$A$49,0),MATCH(orders!J$1,products!$A$1:$G$1,0))</f>
        <v>L</v>
      </c>
      <c r="K942" s="4">
        <f>INDEX(products!$A$1:$G$49,MATCH($D942,products!$A$1:$A$49,0),MATCH(orders!K$1,products!$A$1:$G$1,0))</f>
        <v>0.5</v>
      </c>
      <c r="L942" s="5">
        <f>INDEX(products!$A$1:$G$49,MATCH($D942,products!$A$1:$A$49,0),MATCH(orders!L$1,products!$A$1:$G$1,0))</f>
        <v>7.169999999999999</v>
      </c>
      <c r="M942" s="5">
        <f t="shared" si="28"/>
        <v>14.339999999999998</v>
      </c>
      <c r="N942" t="str">
        <f>IF(I942="Rob","Robusta",IF(I942="Exc","Excelsa",IF(I942="Ara","Arabica",IF(I942="Lib","Liberica",""))))</f>
        <v>Robusta</v>
      </c>
      <c r="O942" t="str">
        <f t="shared" si="29"/>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INDEX(products!$A$1:$G$49,MATCH($D943,products!$A$1:$A$49,0),MATCH(orders!I$1,products!$A$1:$G$1,0))</f>
        <v>Ara</v>
      </c>
      <c r="J943" t="str">
        <f>INDEX(products!$A$1:$G$49,MATCH($D943,products!$A$1:$A$49,0),MATCH(orders!J$1,products!$A$1:$G$1,0))</f>
        <v>L</v>
      </c>
      <c r="K943" s="4">
        <f>INDEX(products!$A$1:$G$49,MATCH($D943,products!$A$1:$A$49,0),MATCH(orders!K$1,products!$A$1:$G$1,0))</f>
        <v>0.5</v>
      </c>
      <c r="L943" s="5">
        <f>INDEX(products!$A$1:$G$49,MATCH($D943,products!$A$1:$A$49,0),MATCH(orders!L$1,products!$A$1:$G$1,0))</f>
        <v>7.77</v>
      </c>
      <c r="M943" s="5">
        <f t="shared" si="28"/>
        <v>15.54</v>
      </c>
      <c r="N943" t="str">
        <f>IF(I943="Rob","Robusta",IF(I943="Exc","Excelsa",IF(I943="Ara","Arabica",IF(I943="Lib","Liberica",""))))</f>
        <v>Arabica</v>
      </c>
      <c r="O943" t="str">
        <f t="shared" si="29"/>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INDEX(products!$A$1:$G$49,MATCH($D944,products!$A$1:$A$49,0),MATCH(orders!I$1,products!$A$1:$G$1,0))</f>
        <v>Rob</v>
      </c>
      <c r="J944" t="str">
        <f>INDEX(products!$A$1:$G$49,MATCH($D944,products!$A$1:$A$49,0),MATCH(orders!J$1,products!$A$1:$G$1,0))</f>
        <v>L</v>
      </c>
      <c r="K944" s="4">
        <f>INDEX(products!$A$1:$G$49,MATCH($D944,products!$A$1:$A$49,0),MATCH(orders!K$1,products!$A$1:$G$1,0))</f>
        <v>1</v>
      </c>
      <c r="L944" s="5">
        <f>INDEX(products!$A$1:$G$49,MATCH($D944,products!$A$1:$A$49,0),MATCH(orders!L$1,products!$A$1:$G$1,0))</f>
        <v>11.95</v>
      </c>
      <c r="M944" s="5">
        <f t="shared" si="28"/>
        <v>35.849999999999994</v>
      </c>
      <c r="N944" t="str">
        <f>IF(I944="Rob","Robusta",IF(I944="Exc","Excelsa",IF(I944="Ara","Arabica",IF(I944="Lib","Liberica",""))))</f>
        <v>Robusta</v>
      </c>
      <c r="O944" t="str">
        <f t="shared" si="29"/>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INDEX(products!$A$1:$G$49,MATCH($D945,products!$A$1:$A$49,0),MATCH(orders!I$1,products!$A$1:$G$1,0))</f>
        <v>Ara</v>
      </c>
      <c r="J945" t="str">
        <f>INDEX(products!$A$1:$G$49,MATCH($D945,products!$A$1:$A$49,0),MATCH(orders!J$1,products!$A$1:$G$1,0))</f>
        <v>L</v>
      </c>
      <c r="K945" s="4">
        <f>INDEX(products!$A$1:$G$49,MATCH($D945,products!$A$1:$A$49,0),MATCH(orders!K$1,products!$A$1:$G$1,0))</f>
        <v>0.5</v>
      </c>
      <c r="L945" s="5">
        <f>INDEX(products!$A$1:$G$49,MATCH($D945,products!$A$1:$A$49,0),MATCH(orders!L$1,products!$A$1:$G$1,0))</f>
        <v>7.77</v>
      </c>
      <c r="M945" s="5">
        <f t="shared" si="28"/>
        <v>46.62</v>
      </c>
      <c r="N945" t="str">
        <f>IF(I945="Rob","Robusta",IF(I945="Exc","Excelsa",IF(I945="Ara","Arabica",IF(I945="Lib","Liberica",""))))</f>
        <v>Arabica</v>
      </c>
      <c r="O945" t="str">
        <f t="shared" si="29"/>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INDEX(products!$A$1:$G$49,MATCH($D946,products!$A$1:$A$49,0),MATCH(orders!I$1,products!$A$1:$G$1,0))</f>
        <v>Rob</v>
      </c>
      <c r="J946" t="str">
        <f>INDEX(products!$A$1:$G$49,MATCH($D946,products!$A$1:$A$49,0),MATCH(orders!J$1,products!$A$1:$G$1,0))</f>
        <v>L</v>
      </c>
      <c r="K946" s="4">
        <f>INDEX(products!$A$1:$G$49,MATCH($D946,products!$A$1:$A$49,0),MATCH(orders!K$1,products!$A$1:$G$1,0))</f>
        <v>0.5</v>
      </c>
      <c r="L946" s="5">
        <f>INDEX(products!$A$1:$G$49,MATCH($D946,products!$A$1:$A$49,0),MATCH(orders!L$1,products!$A$1:$G$1,0))</f>
        <v>7.169999999999999</v>
      </c>
      <c r="M946" s="5">
        <f t="shared" si="28"/>
        <v>35.849999999999994</v>
      </c>
      <c r="N946" t="str">
        <f>IF(I946="Rob","Robusta",IF(I946="Exc","Excelsa",IF(I946="Ara","Arabica",IF(I946="Lib","Liberica",""))))</f>
        <v>Robusta</v>
      </c>
      <c r="O946" t="str">
        <f t="shared" si="29"/>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INDEX(products!$A$1:$G$49,MATCH($D947,products!$A$1:$A$49,0),MATCH(orders!I$1,products!$A$1:$G$1,0))</f>
        <v>Lib</v>
      </c>
      <c r="J947" t="str">
        <f>INDEX(products!$A$1:$G$49,MATCH($D947,products!$A$1:$A$49,0),MATCH(orders!J$1,products!$A$1:$G$1,0))</f>
        <v>D</v>
      </c>
      <c r="K947" s="4">
        <f>INDEX(products!$A$1:$G$49,MATCH($D947,products!$A$1:$A$49,0),MATCH(orders!K$1,products!$A$1:$G$1,0))</f>
        <v>2.5</v>
      </c>
      <c r="L947" s="5">
        <f>INDEX(products!$A$1:$G$49,MATCH($D947,products!$A$1:$A$49,0),MATCH(orders!L$1,products!$A$1:$G$1,0))</f>
        <v>29.784999999999997</v>
      </c>
      <c r="M947" s="5">
        <f t="shared" si="28"/>
        <v>119.13999999999999</v>
      </c>
      <c r="N947" t="str">
        <f>IF(I947="Rob","Robusta",IF(I947="Exc","Excelsa",IF(I947="Ara","Arabica",IF(I947="Lib","Liberica",""))))</f>
        <v>Liberica</v>
      </c>
      <c r="O947" t="str">
        <f t="shared" si="29"/>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INDEX(products!$A$1:$G$49,MATCH($D948,products!$A$1:$A$49,0),MATCH(orders!I$1,products!$A$1:$G$1,0))</f>
        <v>Lib</v>
      </c>
      <c r="J948" t="str">
        <f>INDEX(products!$A$1:$G$49,MATCH($D948,products!$A$1:$A$49,0),MATCH(orders!J$1,products!$A$1:$G$1,0))</f>
        <v>D</v>
      </c>
      <c r="K948" s="4">
        <f>INDEX(products!$A$1:$G$49,MATCH($D948,products!$A$1:$A$49,0),MATCH(orders!K$1,products!$A$1:$G$1,0))</f>
        <v>0.5</v>
      </c>
      <c r="L948" s="5">
        <f>INDEX(products!$A$1:$G$49,MATCH($D948,products!$A$1:$A$49,0),MATCH(orders!L$1,products!$A$1:$G$1,0))</f>
        <v>7.77</v>
      </c>
      <c r="M948" s="5">
        <f t="shared" si="28"/>
        <v>23.31</v>
      </c>
      <c r="N948" t="str">
        <f>IF(I948="Rob","Robusta",IF(I948="Exc","Excelsa",IF(I948="Ara","Arabica",IF(I948="Lib","Liberica",""))))</f>
        <v>Liberica</v>
      </c>
      <c r="O948" t="str">
        <f t="shared" si="29"/>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INDEX(products!$A$1:$G$49,MATCH($D949,products!$A$1:$A$49,0),MATCH(orders!I$1,products!$A$1:$G$1,0))</f>
        <v>Ara</v>
      </c>
      <c r="J949" t="str">
        <f>INDEX(products!$A$1:$G$49,MATCH($D949,products!$A$1:$A$49,0),MATCH(orders!J$1,products!$A$1:$G$1,0))</f>
        <v>M</v>
      </c>
      <c r="K949" s="4">
        <f>INDEX(products!$A$1:$G$49,MATCH($D949,products!$A$1:$A$49,0),MATCH(orders!K$1,products!$A$1:$G$1,0))</f>
        <v>1</v>
      </c>
      <c r="L949" s="5">
        <f>INDEX(products!$A$1:$G$49,MATCH($D949,products!$A$1:$A$49,0),MATCH(orders!L$1,products!$A$1:$G$1,0))</f>
        <v>11.25</v>
      </c>
      <c r="M949" s="5">
        <f t="shared" si="28"/>
        <v>11.25</v>
      </c>
      <c r="N949" t="str">
        <f>IF(I949="Rob","Robusta",IF(I949="Exc","Excelsa",IF(I949="Ara","Arabica",IF(I949="Lib","Liberica",""))))</f>
        <v>Arabica</v>
      </c>
      <c r="O949" t="str">
        <f t="shared" si="29"/>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INDEX(products!$A$1:$G$49,MATCH($D950,products!$A$1:$A$49,0),MATCH(orders!I$1,products!$A$1:$G$1,0))</f>
        <v>Exc</v>
      </c>
      <c r="J950" t="str">
        <f>INDEX(products!$A$1:$G$49,MATCH($D950,products!$A$1:$A$49,0),MATCH(orders!J$1,products!$A$1:$G$1,0))</f>
        <v>D</v>
      </c>
      <c r="K950" s="4">
        <f>INDEX(products!$A$1:$G$49,MATCH($D950,products!$A$1:$A$49,0),MATCH(orders!K$1,products!$A$1:$G$1,0))</f>
        <v>2.5</v>
      </c>
      <c r="L950" s="5">
        <f>INDEX(products!$A$1:$G$49,MATCH($D950,products!$A$1:$A$49,0),MATCH(orders!L$1,products!$A$1:$G$1,0))</f>
        <v>27.945</v>
      </c>
      <c r="M950" s="5">
        <f t="shared" si="28"/>
        <v>83.835000000000008</v>
      </c>
      <c r="N950" t="str">
        <f>IF(I950="Rob","Robusta",IF(I950="Exc","Excelsa",IF(I950="Ara","Arabica",IF(I950="Lib","Liberica",""))))</f>
        <v>Excelsa</v>
      </c>
      <c r="O950" t="str">
        <f t="shared" si="29"/>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INDEX(products!$A$1:$G$49,MATCH($D951,products!$A$1:$A$49,0),MATCH(orders!I$1,products!$A$1:$G$1,0))</f>
        <v>Rob</v>
      </c>
      <c r="J951" t="str">
        <f>INDEX(products!$A$1:$G$49,MATCH($D951,products!$A$1:$A$49,0),MATCH(orders!J$1,products!$A$1:$G$1,0))</f>
        <v>L</v>
      </c>
      <c r="K951" s="4">
        <f>INDEX(products!$A$1:$G$49,MATCH($D951,products!$A$1:$A$49,0),MATCH(orders!K$1,products!$A$1:$G$1,0))</f>
        <v>2.5</v>
      </c>
      <c r="L951" s="5">
        <f>INDEX(products!$A$1:$G$49,MATCH($D951,products!$A$1:$A$49,0),MATCH(orders!L$1,products!$A$1:$G$1,0))</f>
        <v>27.484999999999996</v>
      </c>
      <c r="M951" s="5">
        <f t="shared" si="28"/>
        <v>109.93999999999998</v>
      </c>
      <c r="N951" t="str">
        <f>IF(I951="Rob","Robusta",IF(I951="Exc","Excelsa",IF(I951="Ara","Arabica",IF(I951="Lib","Liberica",""))))</f>
        <v>Robusta</v>
      </c>
      <c r="O951" t="str">
        <f t="shared" si="29"/>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INDEX(products!$A$1:$G$49,MATCH($D952,products!$A$1:$A$49,0),MATCH(orders!I$1,products!$A$1:$G$1,0))</f>
        <v>Rob</v>
      </c>
      <c r="J952" t="str">
        <f>INDEX(products!$A$1:$G$49,MATCH($D952,products!$A$1:$A$49,0),MATCH(orders!J$1,products!$A$1:$G$1,0))</f>
        <v>L</v>
      </c>
      <c r="K952" s="4">
        <f>INDEX(products!$A$1:$G$49,MATCH($D952,products!$A$1:$A$49,0),MATCH(orders!K$1,products!$A$1:$G$1,0))</f>
        <v>0.2</v>
      </c>
      <c r="L952" s="5">
        <f>INDEX(products!$A$1:$G$49,MATCH($D952,products!$A$1:$A$49,0),MATCH(orders!L$1,products!$A$1:$G$1,0))</f>
        <v>3.5849999999999995</v>
      </c>
      <c r="M952" s="5">
        <f t="shared" si="28"/>
        <v>14.339999999999998</v>
      </c>
      <c r="N952" t="str">
        <f>IF(I952="Rob","Robusta",IF(I952="Exc","Excelsa",IF(I952="Ara","Arabica",IF(I952="Lib","Liberica",""))))</f>
        <v>Robusta</v>
      </c>
      <c r="O952" t="str">
        <f t="shared" si="29"/>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INDEX(products!$A$1:$G$49,MATCH($D953,products!$A$1:$A$49,0),MATCH(orders!I$1,products!$A$1:$G$1,0))</f>
        <v>Rob</v>
      </c>
      <c r="J953" t="str">
        <f>INDEX(products!$A$1:$G$49,MATCH($D953,products!$A$1:$A$49,0),MATCH(orders!J$1,products!$A$1:$G$1,0))</f>
        <v>L</v>
      </c>
      <c r="K953" s="4">
        <f>INDEX(products!$A$1:$G$49,MATCH($D953,products!$A$1:$A$49,0),MATCH(orders!K$1,products!$A$1:$G$1,0))</f>
        <v>0.2</v>
      </c>
      <c r="L953" s="5">
        <f>INDEX(products!$A$1:$G$49,MATCH($D953,products!$A$1:$A$49,0),MATCH(orders!L$1,products!$A$1:$G$1,0))</f>
        <v>3.5849999999999995</v>
      </c>
      <c r="M953" s="5">
        <f t="shared" si="28"/>
        <v>21.509999999999998</v>
      </c>
      <c r="N953" t="str">
        <f>IF(I953="Rob","Robusta",IF(I953="Exc","Excelsa",IF(I953="Ara","Arabica",IF(I953="Lib","Liberica",""))))</f>
        <v>Robusta</v>
      </c>
      <c r="O953" t="str">
        <f t="shared" si="29"/>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INDEX(products!$A$1:$G$49,MATCH($D954,products!$A$1:$A$49,0),MATCH(orders!I$1,products!$A$1:$G$1,0))</f>
        <v>Ara</v>
      </c>
      <c r="J954" t="str">
        <f>INDEX(products!$A$1:$G$49,MATCH($D954,products!$A$1:$A$49,0),MATCH(orders!J$1,products!$A$1:$G$1,0))</f>
        <v>M</v>
      </c>
      <c r="K954" s="4">
        <f>INDEX(products!$A$1:$G$49,MATCH($D954,products!$A$1:$A$49,0),MATCH(orders!K$1,products!$A$1:$G$1,0))</f>
        <v>1</v>
      </c>
      <c r="L954" s="5">
        <f>INDEX(products!$A$1:$G$49,MATCH($D954,products!$A$1:$A$49,0),MATCH(orders!L$1,products!$A$1:$G$1,0))</f>
        <v>11.25</v>
      </c>
      <c r="M954" s="5">
        <f t="shared" si="28"/>
        <v>22.5</v>
      </c>
      <c r="N954" t="str">
        <f>IF(I954="Rob","Robusta",IF(I954="Exc","Excelsa",IF(I954="Ara","Arabica",IF(I954="Lib","Liberica",""))))</f>
        <v>Arabica</v>
      </c>
      <c r="O954" t="str">
        <f t="shared" si="29"/>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INDEX(products!$A$1:$G$49,MATCH($D955,products!$A$1:$A$49,0),MATCH(orders!I$1,products!$A$1:$G$1,0))</f>
        <v>Ara</v>
      </c>
      <c r="J955" t="str">
        <f>INDEX(products!$A$1:$G$49,MATCH($D955,products!$A$1:$A$49,0),MATCH(orders!J$1,products!$A$1:$G$1,0))</f>
        <v>L</v>
      </c>
      <c r="K955" s="4">
        <f>INDEX(products!$A$1:$G$49,MATCH($D955,products!$A$1:$A$49,0),MATCH(orders!K$1,products!$A$1:$G$1,0))</f>
        <v>0.2</v>
      </c>
      <c r="L955" s="5">
        <f>INDEX(products!$A$1:$G$49,MATCH($D955,products!$A$1:$A$49,0),MATCH(orders!L$1,products!$A$1:$G$1,0))</f>
        <v>3.8849999999999998</v>
      </c>
      <c r="M955" s="5">
        <f t="shared" si="28"/>
        <v>3.8849999999999998</v>
      </c>
      <c r="N955" t="str">
        <f>IF(I955="Rob","Robusta",IF(I955="Exc","Excelsa",IF(I955="Ara","Arabica",IF(I955="Lib","Liberica",""))))</f>
        <v>Arabica</v>
      </c>
      <c r="O955" t="str">
        <f t="shared" si="29"/>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INDEX(products!$A$1:$G$49,MATCH($D956,products!$A$1:$A$49,0),MATCH(orders!I$1,products!$A$1:$G$1,0))</f>
        <v>Exc</v>
      </c>
      <c r="J956" t="str">
        <f>INDEX(products!$A$1:$G$49,MATCH($D956,products!$A$1:$A$49,0),MATCH(orders!J$1,products!$A$1:$G$1,0))</f>
        <v>D</v>
      </c>
      <c r="K956" s="4">
        <f>INDEX(products!$A$1:$G$49,MATCH($D956,products!$A$1:$A$49,0),MATCH(orders!K$1,products!$A$1:$G$1,0))</f>
        <v>2.5</v>
      </c>
      <c r="L956" s="5">
        <f>INDEX(products!$A$1:$G$49,MATCH($D956,products!$A$1:$A$49,0),MATCH(orders!L$1,products!$A$1:$G$1,0))</f>
        <v>27.945</v>
      </c>
      <c r="M956" s="5">
        <f t="shared" si="28"/>
        <v>27.945</v>
      </c>
      <c r="N956" t="str">
        <f>IF(I956="Rob","Robusta",IF(I956="Exc","Excelsa",IF(I956="Ara","Arabica",IF(I956="Lib","Liberica",""))))</f>
        <v>Excelsa</v>
      </c>
      <c r="O956" t="str">
        <f t="shared" si="29"/>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INDEX(products!$A$1:$G$49,MATCH($D957,products!$A$1:$A$49,0),MATCH(orders!I$1,products!$A$1:$G$1,0))</f>
        <v>Exc</v>
      </c>
      <c r="J957" t="str">
        <f>INDEX(products!$A$1:$G$49,MATCH($D957,products!$A$1:$A$49,0),MATCH(orders!J$1,products!$A$1:$G$1,0))</f>
        <v>L</v>
      </c>
      <c r="K957" s="4">
        <f>INDEX(products!$A$1:$G$49,MATCH($D957,products!$A$1:$A$49,0),MATCH(orders!K$1,products!$A$1:$G$1,0))</f>
        <v>2.5</v>
      </c>
      <c r="L957" s="5">
        <f>INDEX(products!$A$1:$G$49,MATCH($D957,products!$A$1:$A$49,0),MATCH(orders!L$1,products!$A$1:$G$1,0))</f>
        <v>34.154999999999994</v>
      </c>
      <c r="M957" s="5">
        <f t="shared" si="28"/>
        <v>170.77499999999998</v>
      </c>
      <c r="N957" t="str">
        <f>IF(I957="Rob","Robusta",IF(I957="Exc","Excelsa",IF(I957="Ara","Arabica",IF(I957="Lib","Liberica",""))))</f>
        <v>Excelsa</v>
      </c>
      <c r="O957" t="str">
        <f t="shared" si="29"/>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INDEX(products!$A$1:$G$49,MATCH($D958,products!$A$1:$A$49,0),MATCH(orders!I$1,products!$A$1:$G$1,0))</f>
        <v>Rob</v>
      </c>
      <c r="J958" t="str">
        <f>INDEX(products!$A$1:$G$49,MATCH($D958,products!$A$1:$A$49,0),MATCH(orders!J$1,products!$A$1:$G$1,0))</f>
        <v>L</v>
      </c>
      <c r="K958" s="4">
        <f>INDEX(products!$A$1:$G$49,MATCH($D958,products!$A$1:$A$49,0),MATCH(orders!K$1,products!$A$1:$G$1,0))</f>
        <v>2.5</v>
      </c>
      <c r="L958" s="5">
        <f>INDEX(products!$A$1:$G$49,MATCH($D958,products!$A$1:$A$49,0),MATCH(orders!L$1,products!$A$1:$G$1,0))</f>
        <v>27.484999999999996</v>
      </c>
      <c r="M958" s="5">
        <f t="shared" si="28"/>
        <v>54.969999999999992</v>
      </c>
      <c r="N958" t="str">
        <f>IF(I958="Rob","Robusta",IF(I958="Exc","Excelsa",IF(I958="Ara","Arabica",IF(I958="Lib","Liberica",""))))</f>
        <v>Robusta</v>
      </c>
      <c r="O958" t="str">
        <f t="shared" si="29"/>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INDEX(products!$A$1:$G$49,MATCH($D959,products!$A$1:$A$49,0),MATCH(orders!I$1,products!$A$1:$G$1,0))</f>
        <v>Exc</v>
      </c>
      <c r="J959" t="str">
        <f>INDEX(products!$A$1:$G$49,MATCH($D959,products!$A$1:$A$49,0),MATCH(orders!J$1,products!$A$1:$G$1,0))</f>
        <v>L</v>
      </c>
      <c r="K959" s="4">
        <f>INDEX(products!$A$1:$G$49,MATCH($D959,products!$A$1:$A$49,0),MATCH(orders!K$1,products!$A$1:$G$1,0))</f>
        <v>1</v>
      </c>
      <c r="L959" s="5">
        <f>INDEX(products!$A$1:$G$49,MATCH($D959,products!$A$1:$A$49,0),MATCH(orders!L$1,products!$A$1:$G$1,0))</f>
        <v>14.85</v>
      </c>
      <c r="M959" s="5">
        <f t="shared" si="28"/>
        <v>14.85</v>
      </c>
      <c r="N959" t="str">
        <f>IF(I959="Rob","Robusta",IF(I959="Exc","Excelsa",IF(I959="Ara","Arabica",IF(I959="Lib","Liberica",""))))</f>
        <v>Excelsa</v>
      </c>
      <c r="O959" t="str">
        <f t="shared" si="29"/>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INDEX(products!$A$1:$G$49,MATCH($D960,products!$A$1:$A$49,0),MATCH(orders!I$1,products!$A$1:$G$1,0))</f>
        <v>Ara</v>
      </c>
      <c r="J960" t="str">
        <f>INDEX(products!$A$1:$G$49,MATCH($D960,products!$A$1:$A$49,0),MATCH(orders!J$1,products!$A$1:$G$1,0))</f>
        <v>L</v>
      </c>
      <c r="K960" s="4">
        <f>INDEX(products!$A$1:$G$49,MATCH($D960,products!$A$1:$A$49,0),MATCH(orders!K$1,products!$A$1:$G$1,0))</f>
        <v>0.2</v>
      </c>
      <c r="L960" s="5">
        <f>INDEX(products!$A$1:$G$49,MATCH($D960,products!$A$1:$A$49,0),MATCH(orders!L$1,products!$A$1:$G$1,0))</f>
        <v>3.8849999999999998</v>
      </c>
      <c r="M960" s="5">
        <f t="shared" si="28"/>
        <v>7.77</v>
      </c>
      <c r="N960" t="str">
        <f>IF(I960="Rob","Robusta",IF(I960="Exc","Excelsa",IF(I960="Ara","Arabica",IF(I960="Lib","Liberica",""))))</f>
        <v>Arabica</v>
      </c>
      <c r="O960" t="str">
        <f t="shared" si="29"/>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INDEX(products!$A$1:$G$49,MATCH($D961,products!$A$1:$A$49,0),MATCH(orders!I$1,products!$A$1:$G$1,0))</f>
        <v>Lib</v>
      </c>
      <c r="J961" t="str">
        <f>INDEX(products!$A$1:$G$49,MATCH($D961,products!$A$1:$A$49,0),MATCH(orders!J$1,products!$A$1:$G$1,0))</f>
        <v>L</v>
      </c>
      <c r="K961" s="4">
        <f>INDEX(products!$A$1:$G$49,MATCH($D961,products!$A$1:$A$49,0),MATCH(orders!K$1,products!$A$1:$G$1,0))</f>
        <v>0.2</v>
      </c>
      <c r="L961" s="5">
        <f>INDEX(products!$A$1:$G$49,MATCH($D961,products!$A$1:$A$49,0),MATCH(orders!L$1,products!$A$1:$G$1,0))</f>
        <v>4.7549999999999999</v>
      </c>
      <c r="M961" s="5">
        <f t="shared" si="28"/>
        <v>23.774999999999999</v>
      </c>
      <c r="N961" t="str">
        <f>IF(I961="Rob","Robusta",IF(I961="Exc","Excelsa",IF(I961="Ara","Arabica",IF(I961="Lib","Liberica",""))))</f>
        <v>Liberica</v>
      </c>
      <c r="O961" t="str">
        <f t="shared" si="29"/>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INDEX(products!$A$1:$G$49,MATCH($D962,products!$A$1:$A$49,0),MATCH(orders!I$1,products!$A$1:$G$1,0))</f>
        <v>Lib</v>
      </c>
      <c r="J962" t="str">
        <f>INDEX(products!$A$1:$G$49,MATCH($D962,products!$A$1:$A$49,0),MATCH(orders!J$1,products!$A$1:$G$1,0))</f>
        <v>L</v>
      </c>
      <c r="K962" s="4">
        <f>INDEX(products!$A$1:$G$49,MATCH($D962,products!$A$1:$A$49,0),MATCH(orders!K$1,products!$A$1:$G$1,0))</f>
        <v>1</v>
      </c>
      <c r="L962" s="5">
        <f>INDEX(products!$A$1:$G$49,MATCH($D962,products!$A$1:$A$49,0),MATCH(orders!L$1,products!$A$1:$G$1,0))</f>
        <v>15.85</v>
      </c>
      <c r="M962" s="5">
        <f t="shared" si="28"/>
        <v>79.25</v>
      </c>
      <c r="N962" t="str">
        <f>IF(I962="Rob","Robusta",IF(I962="Exc","Excelsa",IF(I962="Ara","Arabica",IF(I962="Lib","Liberica",""))))</f>
        <v>Liberica</v>
      </c>
      <c r="O962" t="str">
        <f t="shared" si="29"/>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INDEX(products!$A$1:$G$49,MATCH($D963,products!$A$1:$A$49,0),MATCH(orders!I$1,products!$A$1:$G$1,0))</f>
        <v>Ara</v>
      </c>
      <c r="J963" t="str">
        <f>INDEX(products!$A$1:$G$49,MATCH($D963,products!$A$1:$A$49,0),MATCH(orders!J$1,products!$A$1:$G$1,0))</f>
        <v>D</v>
      </c>
      <c r="K963" s="4">
        <f>INDEX(products!$A$1:$G$49,MATCH($D963,products!$A$1:$A$49,0),MATCH(orders!K$1,products!$A$1:$G$1,0))</f>
        <v>2.5</v>
      </c>
      <c r="L963" s="5">
        <f>INDEX(products!$A$1:$G$49,MATCH($D963,products!$A$1:$A$49,0),MATCH(orders!L$1,products!$A$1:$G$1,0))</f>
        <v>22.884999999999998</v>
      </c>
      <c r="M963" s="5">
        <f t="shared" ref="M963:M1001" si="30">L963*E963</f>
        <v>45.769999999999996</v>
      </c>
      <c r="N963" t="str">
        <f>IF(I963="Rob","Robusta",IF(I963="Exc","Excelsa",IF(I963="Ara","Arabica",IF(I963="Lib","Liberica",""))))</f>
        <v>Arabica</v>
      </c>
      <c r="O963" t="str">
        <f t="shared" ref="O963:O1001" si="31">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INDEX(products!$A$1:$G$49,MATCH($D964,products!$A$1:$A$49,0),MATCH(orders!I$1,products!$A$1:$G$1,0))</f>
        <v>Rob</v>
      </c>
      <c r="J964" t="str">
        <f>INDEX(products!$A$1:$G$49,MATCH($D964,products!$A$1:$A$49,0),MATCH(orders!J$1,products!$A$1:$G$1,0))</f>
        <v>D</v>
      </c>
      <c r="K964" s="4">
        <f>INDEX(products!$A$1:$G$49,MATCH($D964,products!$A$1:$A$49,0),MATCH(orders!K$1,products!$A$1:$G$1,0))</f>
        <v>1</v>
      </c>
      <c r="L964" s="5">
        <f>INDEX(products!$A$1:$G$49,MATCH($D964,products!$A$1:$A$49,0),MATCH(orders!L$1,products!$A$1:$G$1,0))</f>
        <v>8.9499999999999993</v>
      </c>
      <c r="M964" s="5">
        <f t="shared" si="30"/>
        <v>8.9499999999999993</v>
      </c>
      <c r="N964" t="str">
        <f>IF(I964="Rob","Robusta",IF(I964="Exc","Excelsa",IF(I964="Ara","Arabica",IF(I964="Lib","Liberica",""))))</f>
        <v>Robusta</v>
      </c>
      <c r="O964" t="str">
        <f t="shared" si="31"/>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INDEX(products!$A$1:$G$49,MATCH($D965,products!$A$1:$A$49,0),MATCH(orders!I$1,products!$A$1:$G$1,0))</f>
        <v>Rob</v>
      </c>
      <c r="J965" t="str">
        <f>INDEX(products!$A$1:$G$49,MATCH($D965,products!$A$1:$A$49,0),MATCH(orders!J$1,products!$A$1:$G$1,0))</f>
        <v>M</v>
      </c>
      <c r="K965" s="4">
        <f>INDEX(products!$A$1:$G$49,MATCH($D965,products!$A$1:$A$49,0),MATCH(orders!K$1,products!$A$1:$G$1,0))</f>
        <v>0.5</v>
      </c>
      <c r="L965" s="5">
        <f>INDEX(products!$A$1:$G$49,MATCH($D965,products!$A$1:$A$49,0),MATCH(orders!L$1,products!$A$1:$G$1,0))</f>
        <v>5.97</v>
      </c>
      <c r="M965" s="5">
        <f t="shared" si="30"/>
        <v>23.88</v>
      </c>
      <c r="N965" t="str">
        <f>IF(I965="Rob","Robusta",IF(I965="Exc","Excelsa",IF(I965="Ara","Arabica",IF(I965="Lib","Liberica",""))))</f>
        <v>Robusta</v>
      </c>
      <c r="O965" t="str">
        <f t="shared" si="31"/>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INDEX(products!$A$1:$G$49,MATCH($D966,products!$A$1:$A$49,0),MATCH(orders!I$1,products!$A$1:$G$1,0))</f>
        <v>Exc</v>
      </c>
      <c r="J966" t="str">
        <f>INDEX(products!$A$1:$G$49,MATCH($D966,products!$A$1:$A$49,0),MATCH(orders!J$1,products!$A$1:$G$1,0))</f>
        <v>L</v>
      </c>
      <c r="K966" s="4">
        <f>INDEX(products!$A$1:$G$49,MATCH($D966,products!$A$1:$A$49,0),MATCH(orders!K$1,products!$A$1:$G$1,0))</f>
        <v>0.2</v>
      </c>
      <c r="L966" s="5">
        <f>INDEX(products!$A$1:$G$49,MATCH($D966,products!$A$1:$A$49,0),MATCH(orders!L$1,products!$A$1:$G$1,0))</f>
        <v>4.4550000000000001</v>
      </c>
      <c r="M966" s="5">
        <f t="shared" si="30"/>
        <v>22.274999999999999</v>
      </c>
      <c r="N966" t="str">
        <f>IF(I966="Rob","Robusta",IF(I966="Exc","Excelsa",IF(I966="Ara","Arabica",IF(I966="Lib","Liberica",""))))</f>
        <v>Excelsa</v>
      </c>
      <c r="O966" t="str">
        <f t="shared" si="31"/>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INDEX(products!$A$1:$G$49,MATCH($D967,products!$A$1:$A$49,0),MATCH(orders!I$1,products!$A$1:$G$1,0))</f>
        <v>Rob</v>
      </c>
      <c r="J967" t="str">
        <f>INDEX(products!$A$1:$G$49,MATCH($D967,products!$A$1:$A$49,0),MATCH(orders!J$1,products!$A$1:$G$1,0))</f>
        <v>M</v>
      </c>
      <c r="K967" s="4">
        <f>INDEX(products!$A$1:$G$49,MATCH($D967,products!$A$1:$A$49,0),MATCH(orders!K$1,products!$A$1:$G$1,0))</f>
        <v>1</v>
      </c>
      <c r="L967" s="5">
        <f>INDEX(products!$A$1:$G$49,MATCH($D967,products!$A$1:$A$49,0),MATCH(orders!L$1,products!$A$1:$G$1,0))</f>
        <v>9.9499999999999993</v>
      </c>
      <c r="M967" s="5">
        <f t="shared" si="30"/>
        <v>29.849999999999998</v>
      </c>
      <c r="N967" t="str">
        <f>IF(I967="Rob","Robusta",IF(I967="Exc","Excelsa",IF(I967="Ara","Arabica",IF(I967="Lib","Liberica",""))))</f>
        <v>Robusta</v>
      </c>
      <c r="O967" t="str">
        <f t="shared" si="31"/>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INDEX(products!$A$1:$G$49,MATCH($D968,products!$A$1:$A$49,0),MATCH(orders!I$1,products!$A$1:$G$1,0))</f>
        <v>Exc</v>
      </c>
      <c r="J968" t="str">
        <f>INDEX(products!$A$1:$G$49,MATCH($D968,products!$A$1:$A$49,0),MATCH(orders!J$1,products!$A$1:$G$1,0))</f>
        <v>L</v>
      </c>
      <c r="K968" s="4">
        <f>INDEX(products!$A$1:$G$49,MATCH($D968,products!$A$1:$A$49,0),MATCH(orders!K$1,products!$A$1:$G$1,0))</f>
        <v>0.5</v>
      </c>
      <c r="L968" s="5">
        <f>INDEX(products!$A$1:$G$49,MATCH($D968,products!$A$1:$A$49,0),MATCH(orders!L$1,products!$A$1:$G$1,0))</f>
        <v>8.91</v>
      </c>
      <c r="M968" s="5">
        <f t="shared" si="30"/>
        <v>53.46</v>
      </c>
      <c r="N968" t="str">
        <f>IF(I968="Rob","Robusta",IF(I968="Exc","Excelsa",IF(I968="Ara","Arabica",IF(I968="Lib","Liberica",""))))</f>
        <v>Excelsa</v>
      </c>
      <c r="O968" t="str">
        <f t="shared" si="31"/>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INDEX(products!$A$1:$G$49,MATCH($D969,products!$A$1:$A$49,0),MATCH(orders!I$1,products!$A$1:$G$1,0))</f>
        <v>Rob</v>
      </c>
      <c r="J969" t="str">
        <f>INDEX(products!$A$1:$G$49,MATCH($D969,products!$A$1:$A$49,0),MATCH(orders!J$1,products!$A$1:$G$1,0))</f>
        <v>D</v>
      </c>
      <c r="K969" s="4">
        <f>INDEX(products!$A$1:$G$49,MATCH($D969,products!$A$1:$A$49,0),MATCH(orders!K$1,products!$A$1:$G$1,0))</f>
        <v>0.2</v>
      </c>
      <c r="L969" s="5">
        <f>INDEX(products!$A$1:$G$49,MATCH($D969,products!$A$1:$A$49,0),MATCH(orders!L$1,products!$A$1:$G$1,0))</f>
        <v>2.6849999999999996</v>
      </c>
      <c r="M969" s="5">
        <f t="shared" si="30"/>
        <v>2.6849999999999996</v>
      </c>
      <c r="N969" t="str">
        <f>IF(I969="Rob","Robusta",IF(I969="Exc","Excelsa",IF(I969="Ara","Arabica",IF(I969="Lib","Liberica",""))))</f>
        <v>Robusta</v>
      </c>
      <c r="O969" t="str">
        <f t="shared" si="31"/>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INDEX(products!$A$1:$G$49,MATCH($D970,products!$A$1:$A$49,0),MATCH(orders!I$1,products!$A$1:$G$1,0))</f>
        <v>Rob</v>
      </c>
      <c r="J970" t="str">
        <f>INDEX(products!$A$1:$G$49,MATCH($D970,products!$A$1:$A$49,0),MATCH(orders!J$1,products!$A$1:$G$1,0))</f>
        <v>M</v>
      </c>
      <c r="K970" s="4">
        <f>INDEX(products!$A$1:$G$49,MATCH($D970,products!$A$1:$A$49,0),MATCH(orders!K$1,products!$A$1:$G$1,0))</f>
        <v>0.2</v>
      </c>
      <c r="L970" s="5">
        <f>INDEX(products!$A$1:$G$49,MATCH($D970,products!$A$1:$A$49,0),MATCH(orders!L$1,products!$A$1:$G$1,0))</f>
        <v>2.9849999999999999</v>
      </c>
      <c r="M970" s="5">
        <f t="shared" si="30"/>
        <v>5.97</v>
      </c>
      <c r="N970" t="str">
        <f>IF(I970="Rob","Robusta",IF(I970="Exc","Excelsa",IF(I970="Ara","Arabica",IF(I970="Lib","Liberica",""))))</f>
        <v>Robusta</v>
      </c>
      <c r="O970" t="str">
        <f t="shared" si="31"/>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INDEX(products!$A$1:$G$49,MATCH($D971,products!$A$1:$A$49,0),MATCH(orders!I$1,products!$A$1:$G$1,0))</f>
        <v>Lib</v>
      </c>
      <c r="J971" t="str">
        <f>INDEX(products!$A$1:$G$49,MATCH($D971,products!$A$1:$A$49,0),MATCH(orders!J$1,products!$A$1:$G$1,0))</f>
        <v>D</v>
      </c>
      <c r="K971" s="4">
        <f>INDEX(products!$A$1:$G$49,MATCH($D971,products!$A$1:$A$49,0),MATCH(orders!K$1,products!$A$1:$G$1,0))</f>
        <v>1</v>
      </c>
      <c r="L971" s="5">
        <f>INDEX(products!$A$1:$G$49,MATCH($D971,products!$A$1:$A$49,0),MATCH(orders!L$1,products!$A$1:$G$1,0))</f>
        <v>12.95</v>
      </c>
      <c r="M971" s="5">
        <f t="shared" si="30"/>
        <v>12.95</v>
      </c>
      <c r="N971" t="str">
        <f>IF(I971="Rob","Robusta",IF(I971="Exc","Excelsa",IF(I971="Ara","Arabica",IF(I971="Lib","Liberica",""))))</f>
        <v>Liberica</v>
      </c>
      <c r="O971" t="str">
        <f t="shared" si="31"/>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INDEX(products!$A$1:$G$49,MATCH($D972,products!$A$1:$A$49,0),MATCH(orders!I$1,products!$A$1:$G$1,0))</f>
        <v>Exc</v>
      </c>
      <c r="J972" t="str">
        <f>INDEX(products!$A$1:$G$49,MATCH($D972,products!$A$1:$A$49,0),MATCH(orders!J$1,products!$A$1:$G$1,0))</f>
        <v>M</v>
      </c>
      <c r="K972" s="4">
        <f>INDEX(products!$A$1:$G$49,MATCH($D972,products!$A$1:$A$49,0),MATCH(orders!K$1,products!$A$1:$G$1,0))</f>
        <v>0.5</v>
      </c>
      <c r="L972" s="5">
        <f>INDEX(products!$A$1:$G$49,MATCH($D972,products!$A$1:$A$49,0),MATCH(orders!L$1,products!$A$1:$G$1,0))</f>
        <v>8.25</v>
      </c>
      <c r="M972" s="5">
        <f t="shared" si="30"/>
        <v>8.25</v>
      </c>
      <c r="N972" t="str">
        <f>IF(I972="Rob","Robusta",IF(I972="Exc","Excelsa",IF(I972="Ara","Arabica",IF(I972="Lib","Liberica",""))))</f>
        <v>Excelsa</v>
      </c>
      <c r="O972" t="str">
        <f t="shared" si="31"/>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INDEX(products!$A$1:$G$49,MATCH($D973,products!$A$1:$A$49,0),MATCH(orders!I$1,products!$A$1:$G$1,0))</f>
        <v>Ara</v>
      </c>
      <c r="J973" t="str">
        <f>INDEX(products!$A$1:$G$49,MATCH($D973,products!$A$1:$A$49,0),MATCH(orders!J$1,products!$A$1:$G$1,0))</f>
        <v>L</v>
      </c>
      <c r="K973" s="4">
        <f>INDEX(products!$A$1:$G$49,MATCH($D973,products!$A$1:$A$49,0),MATCH(orders!K$1,products!$A$1:$G$1,0))</f>
        <v>2.5</v>
      </c>
      <c r="L973" s="5">
        <f>INDEX(products!$A$1:$G$49,MATCH($D973,products!$A$1:$A$49,0),MATCH(orders!L$1,products!$A$1:$G$1,0))</f>
        <v>29.784999999999997</v>
      </c>
      <c r="M973" s="5">
        <f t="shared" si="30"/>
        <v>148.92499999999998</v>
      </c>
      <c r="N973" t="str">
        <f>IF(I973="Rob","Robusta",IF(I973="Exc","Excelsa",IF(I973="Ara","Arabica",IF(I973="Lib","Liberica",""))))</f>
        <v>Arabica</v>
      </c>
      <c r="O973" t="str">
        <f t="shared" si="31"/>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INDEX(products!$A$1:$G$49,MATCH($D974,products!$A$1:$A$49,0),MATCH(orders!I$1,products!$A$1:$G$1,0))</f>
        <v>Ara</v>
      </c>
      <c r="J974" t="str">
        <f>INDEX(products!$A$1:$G$49,MATCH($D974,products!$A$1:$A$49,0),MATCH(orders!J$1,products!$A$1:$G$1,0))</f>
        <v>L</v>
      </c>
      <c r="K974" s="4">
        <f>INDEX(products!$A$1:$G$49,MATCH($D974,products!$A$1:$A$49,0),MATCH(orders!K$1,products!$A$1:$G$1,0))</f>
        <v>2.5</v>
      </c>
      <c r="L974" s="5">
        <f>INDEX(products!$A$1:$G$49,MATCH($D974,products!$A$1:$A$49,0),MATCH(orders!L$1,products!$A$1:$G$1,0))</f>
        <v>29.784999999999997</v>
      </c>
      <c r="M974" s="5">
        <f t="shared" si="30"/>
        <v>89.35499999999999</v>
      </c>
      <c r="N974" t="str">
        <f>IF(I974="Rob","Robusta",IF(I974="Exc","Excelsa",IF(I974="Ara","Arabica",IF(I974="Lib","Liberica",""))))</f>
        <v>Arabica</v>
      </c>
      <c r="O974" t="str">
        <f t="shared" si="31"/>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INDEX(products!$A$1:$G$49,MATCH($D975,products!$A$1:$A$49,0),MATCH(orders!I$1,products!$A$1:$G$1,0))</f>
        <v>Lib</v>
      </c>
      <c r="J975" t="str">
        <f>INDEX(products!$A$1:$G$49,MATCH($D975,products!$A$1:$A$49,0),MATCH(orders!J$1,products!$A$1:$G$1,0))</f>
        <v>M</v>
      </c>
      <c r="K975" s="4">
        <f>INDEX(products!$A$1:$G$49,MATCH($D975,products!$A$1:$A$49,0),MATCH(orders!K$1,products!$A$1:$G$1,0))</f>
        <v>1</v>
      </c>
      <c r="L975" s="5">
        <f>INDEX(products!$A$1:$G$49,MATCH($D975,products!$A$1:$A$49,0),MATCH(orders!L$1,products!$A$1:$G$1,0))</f>
        <v>14.55</v>
      </c>
      <c r="M975" s="5">
        <f t="shared" si="30"/>
        <v>87.300000000000011</v>
      </c>
      <c r="N975" t="str">
        <f>IF(I975="Rob","Robusta",IF(I975="Exc","Excelsa",IF(I975="Ara","Arabica",IF(I975="Lib","Liberica",""))))</f>
        <v>Liberica</v>
      </c>
      <c r="O975" t="str">
        <f t="shared" si="31"/>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INDEX(products!$A$1:$G$49,MATCH($D976,products!$A$1:$A$49,0),MATCH(orders!I$1,products!$A$1:$G$1,0))</f>
        <v>Rob</v>
      </c>
      <c r="J976" t="str">
        <f>INDEX(products!$A$1:$G$49,MATCH($D976,products!$A$1:$A$49,0),MATCH(orders!J$1,products!$A$1:$G$1,0))</f>
        <v>D</v>
      </c>
      <c r="K976" s="4">
        <f>INDEX(products!$A$1:$G$49,MATCH($D976,products!$A$1:$A$49,0),MATCH(orders!K$1,products!$A$1:$G$1,0))</f>
        <v>0.5</v>
      </c>
      <c r="L976" s="5">
        <f>INDEX(products!$A$1:$G$49,MATCH($D976,products!$A$1:$A$49,0),MATCH(orders!L$1,products!$A$1:$G$1,0))</f>
        <v>5.3699999999999992</v>
      </c>
      <c r="M976" s="5">
        <f t="shared" si="30"/>
        <v>5.3699999999999992</v>
      </c>
      <c r="N976" t="str">
        <f>IF(I976="Rob","Robusta",IF(I976="Exc","Excelsa",IF(I976="Ara","Arabica",IF(I976="Lib","Liberica",""))))</f>
        <v>Robusta</v>
      </c>
      <c r="O976" t="str">
        <f t="shared" si="31"/>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INDEX(products!$A$1:$G$49,MATCH($D977,products!$A$1:$A$49,0),MATCH(orders!I$1,products!$A$1:$G$1,0))</f>
        <v>Ara</v>
      </c>
      <c r="J977" t="str">
        <f>INDEX(products!$A$1:$G$49,MATCH($D977,products!$A$1:$A$49,0),MATCH(orders!J$1,products!$A$1:$G$1,0))</f>
        <v>D</v>
      </c>
      <c r="K977" s="4">
        <f>INDEX(products!$A$1:$G$49,MATCH($D977,products!$A$1:$A$49,0),MATCH(orders!K$1,products!$A$1:$G$1,0))</f>
        <v>0.2</v>
      </c>
      <c r="L977" s="5">
        <f>INDEX(products!$A$1:$G$49,MATCH($D977,products!$A$1:$A$49,0),MATCH(orders!L$1,products!$A$1:$G$1,0))</f>
        <v>2.9849999999999999</v>
      </c>
      <c r="M977" s="5">
        <f t="shared" si="30"/>
        <v>8.9550000000000001</v>
      </c>
      <c r="N977" t="str">
        <f>IF(I977="Rob","Robusta",IF(I977="Exc","Excelsa",IF(I977="Ara","Arabica",IF(I977="Lib","Liberica",""))))</f>
        <v>Arabica</v>
      </c>
      <c r="O977" t="str">
        <f t="shared" si="31"/>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INDEX(products!$A$1:$G$49,MATCH($D978,products!$A$1:$A$49,0),MATCH(orders!I$1,products!$A$1:$G$1,0))</f>
        <v>Rob</v>
      </c>
      <c r="J978" t="str">
        <f>INDEX(products!$A$1:$G$49,MATCH($D978,products!$A$1:$A$49,0),MATCH(orders!J$1,products!$A$1:$G$1,0))</f>
        <v>L</v>
      </c>
      <c r="K978" s="4">
        <f>INDEX(products!$A$1:$G$49,MATCH($D978,products!$A$1:$A$49,0),MATCH(orders!K$1,products!$A$1:$G$1,0))</f>
        <v>2.5</v>
      </c>
      <c r="L978" s="5">
        <f>INDEX(products!$A$1:$G$49,MATCH($D978,products!$A$1:$A$49,0),MATCH(orders!L$1,products!$A$1:$G$1,0))</f>
        <v>27.484999999999996</v>
      </c>
      <c r="M978" s="5">
        <f t="shared" si="30"/>
        <v>137.42499999999998</v>
      </c>
      <c r="N978" t="str">
        <f>IF(I978="Rob","Robusta",IF(I978="Exc","Excelsa",IF(I978="Ara","Arabica",IF(I978="Lib","Liberica",""))))</f>
        <v>Robusta</v>
      </c>
      <c r="O978" t="str">
        <f t="shared" si="31"/>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INDEX(products!$A$1:$G$49,MATCH($D979,products!$A$1:$A$49,0),MATCH(orders!I$1,products!$A$1:$G$1,0))</f>
        <v>Rob</v>
      </c>
      <c r="J979" t="str">
        <f>INDEX(products!$A$1:$G$49,MATCH($D979,products!$A$1:$A$49,0),MATCH(orders!J$1,products!$A$1:$G$1,0))</f>
        <v>L</v>
      </c>
      <c r="K979" s="4">
        <f>INDEX(products!$A$1:$G$49,MATCH($D979,products!$A$1:$A$49,0),MATCH(orders!K$1,products!$A$1:$G$1,0))</f>
        <v>1</v>
      </c>
      <c r="L979" s="5">
        <f>INDEX(products!$A$1:$G$49,MATCH($D979,products!$A$1:$A$49,0),MATCH(orders!L$1,products!$A$1:$G$1,0))</f>
        <v>11.95</v>
      </c>
      <c r="M979" s="5">
        <f t="shared" si="30"/>
        <v>59.75</v>
      </c>
      <c r="N979" t="str">
        <f>IF(I979="Rob","Robusta",IF(I979="Exc","Excelsa",IF(I979="Ara","Arabica",IF(I979="Lib","Liberica",""))))</f>
        <v>Robusta</v>
      </c>
      <c r="O979" t="str">
        <f t="shared" si="31"/>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INDEX(products!$A$1:$G$49,MATCH($D980,products!$A$1:$A$49,0),MATCH(orders!I$1,products!$A$1:$G$1,0))</f>
        <v>Ara</v>
      </c>
      <c r="J980" t="str">
        <f>INDEX(products!$A$1:$G$49,MATCH($D980,products!$A$1:$A$49,0),MATCH(orders!J$1,products!$A$1:$G$1,0))</f>
        <v>L</v>
      </c>
      <c r="K980" s="4">
        <f>INDEX(products!$A$1:$G$49,MATCH($D980,products!$A$1:$A$49,0),MATCH(orders!K$1,products!$A$1:$G$1,0))</f>
        <v>0.5</v>
      </c>
      <c r="L980" s="5">
        <f>INDEX(products!$A$1:$G$49,MATCH($D980,products!$A$1:$A$49,0),MATCH(orders!L$1,products!$A$1:$G$1,0))</f>
        <v>7.77</v>
      </c>
      <c r="M980" s="5">
        <f t="shared" si="30"/>
        <v>23.31</v>
      </c>
      <c r="N980" t="str">
        <f>IF(I980="Rob","Robusta",IF(I980="Exc","Excelsa",IF(I980="Ara","Arabica",IF(I980="Lib","Liberica",""))))</f>
        <v>Arabica</v>
      </c>
      <c r="O980" t="str">
        <f t="shared" si="31"/>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INDEX(products!$A$1:$G$49,MATCH($D981,products!$A$1:$A$49,0),MATCH(orders!I$1,products!$A$1:$G$1,0))</f>
        <v>Rob</v>
      </c>
      <c r="J981" t="str">
        <f>INDEX(products!$A$1:$G$49,MATCH($D981,products!$A$1:$A$49,0),MATCH(orders!J$1,products!$A$1:$G$1,0))</f>
        <v>D</v>
      </c>
      <c r="K981" s="4">
        <f>INDEX(products!$A$1:$G$49,MATCH($D981,products!$A$1:$A$49,0),MATCH(orders!K$1,products!$A$1:$G$1,0))</f>
        <v>0.5</v>
      </c>
      <c r="L981" s="5">
        <f>INDEX(products!$A$1:$G$49,MATCH($D981,products!$A$1:$A$49,0),MATCH(orders!L$1,products!$A$1:$G$1,0))</f>
        <v>5.3699999999999992</v>
      </c>
      <c r="M981" s="5">
        <f t="shared" si="30"/>
        <v>10.739999999999998</v>
      </c>
      <c r="N981" t="str">
        <f>IF(I981="Rob","Robusta",IF(I981="Exc","Excelsa",IF(I981="Ara","Arabica",IF(I981="Lib","Liberica",""))))</f>
        <v>Robusta</v>
      </c>
      <c r="O981" t="str">
        <f t="shared" si="31"/>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INDEX(products!$A$1:$G$49,MATCH($D982,products!$A$1:$A$49,0),MATCH(orders!I$1,products!$A$1:$G$1,0))</f>
        <v>Exc</v>
      </c>
      <c r="J982" t="str">
        <f>INDEX(products!$A$1:$G$49,MATCH($D982,products!$A$1:$A$49,0),MATCH(orders!J$1,products!$A$1:$G$1,0))</f>
        <v>D</v>
      </c>
      <c r="K982" s="4">
        <f>INDEX(products!$A$1:$G$49,MATCH($D982,products!$A$1:$A$49,0),MATCH(orders!K$1,products!$A$1:$G$1,0))</f>
        <v>2.5</v>
      </c>
      <c r="L982" s="5">
        <f>INDEX(products!$A$1:$G$49,MATCH($D982,products!$A$1:$A$49,0),MATCH(orders!L$1,products!$A$1:$G$1,0))</f>
        <v>27.945</v>
      </c>
      <c r="M982" s="5">
        <f t="shared" si="30"/>
        <v>167.67000000000002</v>
      </c>
      <c r="N982" t="str">
        <f>IF(I982="Rob","Robusta",IF(I982="Exc","Excelsa",IF(I982="Ara","Arabica",IF(I982="Lib","Liberica",""))))</f>
        <v>Excelsa</v>
      </c>
      <c r="O982" t="str">
        <f t="shared" si="31"/>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INDEX(products!$A$1:$G$49,MATCH($D983,products!$A$1:$A$49,0),MATCH(orders!I$1,products!$A$1:$G$1,0))</f>
        <v>Exc</v>
      </c>
      <c r="J983" t="str">
        <f>INDEX(products!$A$1:$G$49,MATCH($D983,products!$A$1:$A$49,0),MATCH(orders!J$1,products!$A$1:$G$1,0))</f>
        <v>D</v>
      </c>
      <c r="K983" s="4">
        <f>INDEX(products!$A$1:$G$49,MATCH($D983,products!$A$1:$A$49,0),MATCH(orders!K$1,products!$A$1:$G$1,0))</f>
        <v>0.2</v>
      </c>
      <c r="L983" s="5">
        <f>INDEX(products!$A$1:$G$49,MATCH($D983,products!$A$1:$A$49,0),MATCH(orders!L$1,products!$A$1:$G$1,0))</f>
        <v>3.645</v>
      </c>
      <c r="M983" s="5">
        <f t="shared" si="30"/>
        <v>21.87</v>
      </c>
      <c r="N983" t="str">
        <f>IF(I983="Rob","Robusta",IF(I983="Exc","Excelsa",IF(I983="Ara","Arabica",IF(I983="Lib","Liberica",""))))</f>
        <v>Excelsa</v>
      </c>
      <c r="O983" t="str">
        <f t="shared" si="31"/>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INDEX(products!$A$1:$G$49,MATCH($D984,products!$A$1:$A$49,0),MATCH(orders!I$1,products!$A$1:$G$1,0))</f>
        <v>Rob</v>
      </c>
      <c r="J984" t="str">
        <f>INDEX(products!$A$1:$G$49,MATCH($D984,products!$A$1:$A$49,0),MATCH(orders!J$1,products!$A$1:$G$1,0))</f>
        <v>L</v>
      </c>
      <c r="K984" s="4">
        <f>INDEX(products!$A$1:$G$49,MATCH($D984,products!$A$1:$A$49,0),MATCH(orders!K$1,products!$A$1:$G$1,0))</f>
        <v>1</v>
      </c>
      <c r="L984" s="5">
        <f>INDEX(products!$A$1:$G$49,MATCH($D984,products!$A$1:$A$49,0),MATCH(orders!L$1,products!$A$1:$G$1,0))</f>
        <v>11.95</v>
      </c>
      <c r="M984" s="5">
        <f t="shared" si="30"/>
        <v>23.9</v>
      </c>
      <c r="N984" t="str">
        <f>IF(I984="Rob","Robusta",IF(I984="Exc","Excelsa",IF(I984="Ara","Arabica",IF(I984="Lib","Liberica",""))))</f>
        <v>Robusta</v>
      </c>
      <c r="O984" t="str">
        <f t="shared" si="31"/>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INDEX(products!$A$1:$G$49,MATCH($D985,products!$A$1:$A$49,0),MATCH(orders!I$1,products!$A$1:$G$1,0))</f>
        <v>Ara</v>
      </c>
      <c r="J985" t="str">
        <f>INDEX(products!$A$1:$G$49,MATCH($D985,products!$A$1:$A$49,0),MATCH(orders!J$1,products!$A$1:$G$1,0))</f>
        <v>M</v>
      </c>
      <c r="K985" s="4">
        <f>INDEX(products!$A$1:$G$49,MATCH($D985,products!$A$1:$A$49,0),MATCH(orders!K$1,products!$A$1:$G$1,0))</f>
        <v>0.2</v>
      </c>
      <c r="L985" s="5">
        <f>INDEX(products!$A$1:$G$49,MATCH($D985,products!$A$1:$A$49,0),MATCH(orders!L$1,products!$A$1:$G$1,0))</f>
        <v>3.375</v>
      </c>
      <c r="M985" s="5">
        <f t="shared" si="30"/>
        <v>6.75</v>
      </c>
      <c r="N985" t="str">
        <f>IF(I985="Rob","Robusta",IF(I985="Exc","Excelsa",IF(I985="Ara","Arabica",IF(I985="Lib","Liberica",""))))</f>
        <v>Arabica</v>
      </c>
      <c r="O985" t="str">
        <f t="shared" si="31"/>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INDEX(products!$A$1:$G$49,MATCH($D986,products!$A$1:$A$49,0),MATCH(orders!I$1,products!$A$1:$G$1,0))</f>
        <v>Exc</v>
      </c>
      <c r="J986" t="str">
        <f>INDEX(products!$A$1:$G$49,MATCH($D986,products!$A$1:$A$49,0),MATCH(orders!J$1,products!$A$1:$G$1,0))</f>
        <v>M</v>
      </c>
      <c r="K986" s="4">
        <f>INDEX(products!$A$1:$G$49,MATCH($D986,products!$A$1:$A$49,0),MATCH(orders!K$1,products!$A$1:$G$1,0))</f>
        <v>2.5</v>
      </c>
      <c r="L986" s="5">
        <f>INDEX(products!$A$1:$G$49,MATCH($D986,products!$A$1:$A$49,0),MATCH(orders!L$1,products!$A$1:$G$1,0))</f>
        <v>31.624999999999996</v>
      </c>
      <c r="M986" s="5">
        <f t="shared" si="30"/>
        <v>31.624999999999996</v>
      </c>
      <c r="N986" t="str">
        <f>IF(I986="Rob","Robusta",IF(I986="Exc","Excelsa",IF(I986="Ara","Arabica",IF(I986="Lib","Liberica",""))))</f>
        <v>Excelsa</v>
      </c>
      <c r="O986" t="str">
        <f t="shared" si="31"/>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INDEX(products!$A$1:$G$49,MATCH($D987,products!$A$1:$A$49,0),MATCH(orders!I$1,products!$A$1:$G$1,0))</f>
        <v>Rob</v>
      </c>
      <c r="J987" t="str">
        <f>INDEX(products!$A$1:$G$49,MATCH($D987,products!$A$1:$A$49,0),MATCH(orders!J$1,products!$A$1:$G$1,0))</f>
        <v>L</v>
      </c>
      <c r="K987" s="4">
        <f>INDEX(products!$A$1:$G$49,MATCH($D987,products!$A$1:$A$49,0),MATCH(orders!K$1,products!$A$1:$G$1,0))</f>
        <v>1</v>
      </c>
      <c r="L987" s="5">
        <f>INDEX(products!$A$1:$G$49,MATCH($D987,products!$A$1:$A$49,0),MATCH(orders!L$1,products!$A$1:$G$1,0))</f>
        <v>11.95</v>
      </c>
      <c r="M987" s="5">
        <f t="shared" si="30"/>
        <v>47.8</v>
      </c>
      <c r="N987" t="str">
        <f>IF(I987="Rob","Robusta",IF(I987="Exc","Excelsa",IF(I987="Ara","Arabica",IF(I987="Lib","Liberica",""))))</f>
        <v>Robusta</v>
      </c>
      <c r="O987" t="str">
        <f t="shared" si="31"/>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INDEX(products!$A$1:$G$49,MATCH($D988,products!$A$1:$A$49,0),MATCH(orders!I$1,products!$A$1:$G$1,0))</f>
        <v>Lib</v>
      </c>
      <c r="J988" t="str">
        <f>INDEX(products!$A$1:$G$49,MATCH($D988,products!$A$1:$A$49,0),MATCH(orders!J$1,products!$A$1:$G$1,0))</f>
        <v>M</v>
      </c>
      <c r="K988" s="4">
        <f>INDEX(products!$A$1:$G$49,MATCH($D988,products!$A$1:$A$49,0),MATCH(orders!K$1,products!$A$1:$G$1,0))</f>
        <v>2.5</v>
      </c>
      <c r="L988" s="5">
        <f>INDEX(products!$A$1:$G$49,MATCH($D988,products!$A$1:$A$49,0),MATCH(orders!L$1,products!$A$1:$G$1,0))</f>
        <v>33.464999999999996</v>
      </c>
      <c r="M988" s="5">
        <f t="shared" si="30"/>
        <v>33.464999999999996</v>
      </c>
      <c r="N988" t="str">
        <f>IF(I988="Rob","Robusta",IF(I988="Exc","Excelsa",IF(I988="Ara","Arabica",IF(I988="Lib","Liberica",""))))</f>
        <v>Liberica</v>
      </c>
      <c r="O988" t="str">
        <f t="shared" si="31"/>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INDEX(products!$A$1:$G$49,MATCH($D989,products!$A$1:$A$49,0),MATCH(orders!I$1,products!$A$1:$G$1,0))</f>
        <v>Ara</v>
      </c>
      <c r="J989" t="str">
        <f>INDEX(products!$A$1:$G$49,MATCH($D989,products!$A$1:$A$49,0),MATCH(orders!J$1,products!$A$1:$G$1,0))</f>
        <v>D</v>
      </c>
      <c r="K989" s="4">
        <f>INDEX(products!$A$1:$G$49,MATCH($D989,products!$A$1:$A$49,0),MATCH(orders!K$1,products!$A$1:$G$1,0))</f>
        <v>0.5</v>
      </c>
      <c r="L989" s="5">
        <f>INDEX(products!$A$1:$G$49,MATCH($D989,products!$A$1:$A$49,0),MATCH(orders!L$1,products!$A$1:$G$1,0))</f>
        <v>5.97</v>
      </c>
      <c r="M989" s="5">
        <f t="shared" si="30"/>
        <v>29.849999999999998</v>
      </c>
      <c r="N989" t="str">
        <f>IF(I989="Rob","Robusta",IF(I989="Exc","Excelsa",IF(I989="Ara","Arabica",IF(I989="Lib","Liberica",""))))</f>
        <v>Arabica</v>
      </c>
      <c r="O989" t="str">
        <f t="shared" si="31"/>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INDEX(products!$A$1:$G$49,MATCH($D990,products!$A$1:$A$49,0),MATCH(orders!I$1,products!$A$1:$G$1,0))</f>
        <v>Rob</v>
      </c>
      <c r="J990" t="str">
        <f>INDEX(products!$A$1:$G$49,MATCH($D990,products!$A$1:$A$49,0),MATCH(orders!J$1,products!$A$1:$G$1,0))</f>
        <v>M</v>
      </c>
      <c r="K990" s="4">
        <f>INDEX(products!$A$1:$G$49,MATCH($D990,products!$A$1:$A$49,0),MATCH(orders!K$1,products!$A$1:$G$1,0))</f>
        <v>1</v>
      </c>
      <c r="L990" s="5">
        <f>INDEX(products!$A$1:$G$49,MATCH($D990,products!$A$1:$A$49,0),MATCH(orders!L$1,products!$A$1:$G$1,0))</f>
        <v>9.9499999999999993</v>
      </c>
      <c r="M990" s="5">
        <f t="shared" si="30"/>
        <v>29.849999999999998</v>
      </c>
      <c r="N990" t="str">
        <f>IF(I990="Rob","Robusta",IF(I990="Exc","Excelsa",IF(I990="Ara","Arabica",IF(I990="Lib","Liberica",""))))</f>
        <v>Robusta</v>
      </c>
      <c r="O990" t="str">
        <f t="shared" si="31"/>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INDEX(products!$A$1:$G$49,MATCH($D991,products!$A$1:$A$49,0),MATCH(orders!I$1,products!$A$1:$G$1,0))</f>
        <v>Ara</v>
      </c>
      <c r="J991" t="str">
        <f>INDEX(products!$A$1:$G$49,MATCH($D991,products!$A$1:$A$49,0),MATCH(orders!J$1,products!$A$1:$G$1,0))</f>
        <v>M</v>
      </c>
      <c r="K991" s="4">
        <f>INDEX(products!$A$1:$G$49,MATCH($D991,products!$A$1:$A$49,0),MATCH(orders!K$1,products!$A$1:$G$1,0))</f>
        <v>2.5</v>
      </c>
      <c r="L991" s="5">
        <f>INDEX(products!$A$1:$G$49,MATCH($D991,products!$A$1:$A$49,0),MATCH(orders!L$1,products!$A$1:$G$1,0))</f>
        <v>25.874999999999996</v>
      </c>
      <c r="M991" s="5">
        <f t="shared" si="30"/>
        <v>155.24999999999997</v>
      </c>
      <c r="N991" t="str">
        <f>IF(I991="Rob","Robusta",IF(I991="Exc","Excelsa",IF(I991="Ara","Arabica",IF(I991="Lib","Liberica",""))))</f>
        <v>Arabica</v>
      </c>
      <c r="O991" t="str">
        <f t="shared" si="31"/>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INDEX(products!$A$1:$G$49,MATCH($D992,products!$A$1:$A$49,0),MATCH(orders!I$1,products!$A$1:$G$1,0))</f>
        <v>Exc</v>
      </c>
      <c r="J992" t="str">
        <f>INDEX(products!$A$1:$G$49,MATCH($D992,products!$A$1:$A$49,0),MATCH(orders!J$1,products!$A$1:$G$1,0))</f>
        <v>D</v>
      </c>
      <c r="K992" s="4">
        <f>INDEX(products!$A$1:$G$49,MATCH($D992,products!$A$1:$A$49,0),MATCH(orders!K$1,products!$A$1:$G$1,0))</f>
        <v>0.2</v>
      </c>
      <c r="L992" s="5">
        <f>INDEX(products!$A$1:$G$49,MATCH($D992,products!$A$1:$A$49,0),MATCH(orders!L$1,products!$A$1:$G$1,0))</f>
        <v>3.645</v>
      </c>
      <c r="M992" s="5">
        <f t="shared" si="30"/>
        <v>18.225000000000001</v>
      </c>
      <c r="N992" t="str">
        <f>IF(I992="Rob","Robusta",IF(I992="Exc","Excelsa",IF(I992="Ara","Arabica",IF(I992="Lib","Liberica",""))))</f>
        <v>Excelsa</v>
      </c>
      <c r="O992" t="str">
        <f t="shared" si="31"/>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INDEX(products!$A$1:$G$49,MATCH($D993,products!$A$1:$A$49,0),MATCH(orders!I$1,products!$A$1:$G$1,0))</f>
        <v>Lib</v>
      </c>
      <c r="J993" t="str">
        <f>INDEX(products!$A$1:$G$49,MATCH($D993,products!$A$1:$A$49,0),MATCH(orders!J$1,products!$A$1:$G$1,0))</f>
        <v>D</v>
      </c>
      <c r="K993" s="4">
        <f>INDEX(products!$A$1:$G$49,MATCH($D993,products!$A$1:$A$49,0),MATCH(orders!K$1,products!$A$1:$G$1,0))</f>
        <v>0.5</v>
      </c>
      <c r="L993" s="5">
        <f>INDEX(products!$A$1:$G$49,MATCH($D993,products!$A$1:$A$49,0),MATCH(orders!L$1,products!$A$1:$G$1,0))</f>
        <v>7.77</v>
      </c>
      <c r="M993" s="5">
        <f t="shared" si="30"/>
        <v>15.54</v>
      </c>
      <c r="N993" t="str">
        <f>IF(I993="Rob","Robusta",IF(I993="Exc","Excelsa",IF(I993="Ara","Arabica",IF(I993="Lib","Liberica",""))))</f>
        <v>Liberica</v>
      </c>
      <c r="O993" t="str">
        <f t="shared" si="31"/>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INDEX(products!$A$1:$G$49,MATCH($D994,products!$A$1:$A$49,0),MATCH(orders!I$1,products!$A$1:$G$1,0))</f>
        <v>Lib</v>
      </c>
      <c r="J994" t="str">
        <f>INDEX(products!$A$1:$G$49,MATCH($D994,products!$A$1:$A$49,0),MATCH(orders!J$1,products!$A$1:$G$1,0))</f>
        <v>L</v>
      </c>
      <c r="K994" s="4">
        <f>INDEX(products!$A$1:$G$49,MATCH($D994,products!$A$1:$A$49,0),MATCH(orders!K$1,products!$A$1:$G$1,0))</f>
        <v>2.5</v>
      </c>
      <c r="L994" s="5">
        <f>INDEX(products!$A$1:$G$49,MATCH($D994,products!$A$1:$A$49,0),MATCH(orders!L$1,products!$A$1:$G$1,0))</f>
        <v>36.454999999999998</v>
      </c>
      <c r="M994" s="5">
        <f t="shared" si="30"/>
        <v>109.36499999999999</v>
      </c>
      <c r="N994" t="str">
        <f>IF(I994="Rob","Robusta",IF(I994="Exc","Excelsa",IF(I994="Ara","Arabica",IF(I994="Lib","Liberica",""))))</f>
        <v>Liberica</v>
      </c>
      <c r="O994" t="str">
        <f t="shared" si="31"/>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INDEX(products!$A$1:$G$49,MATCH($D995,products!$A$1:$A$49,0),MATCH(orders!I$1,products!$A$1:$G$1,0))</f>
        <v>Ara</v>
      </c>
      <c r="J995" t="str">
        <f>INDEX(products!$A$1:$G$49,MATCH($D995,products!$A$1:$A$49,0),MATCH(orders!J$1,products!$A$1:$G$1,0))</f>
        <v>L</v>
      </c>
      <c r="K995" s="4">
        <f>INDEX(products!$A$1:$G$49,MATCH($D995,products!$A$1:$A$49,0),MATCH(orders!K$1,products!$A$1:$G$1,0))</f>
        <v>1</v>
      </c>
      <c r="L995" s="5">
        <f>INDEX(products!$A$1:$G$49,MATCH($D995,products!$A$1:$A$49,0),MATCH(orders!L$1,products!$A$1:$G$1,0))</f>
        <v>12.95</v>
      </c>
      <c r="M995" s="5">
        <f t="shared" si="30"/>
        <v>77.699999999999989</v>
      </c>
      <c r="N995" t="str">
        <f>IF(I995="Rob","Robusta",IF(I995="Exc","Excelsa",IF(I995="Ara","Arabica",IF(I995="Lib","Liberica",""))))</f>
        <v>Arabica</v>
      </c>
      <c r="O995" t="str">
        <f t="shared" si="31"/>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INDEX(products!$A$1:$G$49,MATCH($D996,products!$A$1:$A$49,0),MATCH(orders!I$1,products!$A$1:$G$1,0))</f>
        <v>Ara</v>
      </c>
      <c r="J996" t="str">
        <f>INDEX(products!$A$1:$G$49,MATCH($D996,products!$A$1:$A$49,0),MATCH(orders!J$1,products!$A$1:$G$1,0))</f>
        <v>D</v>
      </c>
      <c r="K996" s="4">
        <f>INDEX(products!$A$1:$G$49,MATCH($D996,products!$A$1:$A$49,0),MATCH(orders!K$1,products!$A$1:$G$1,0))</f>
        <v>0.2</v>
      </c>
      <c r="L996" s="5">
        <f>INDEX(products!$A$1:$G$49,MATCH($D996,products!$A$1:$A$49,0),MATCH(orders!L$1,products!$A$1:$G$1,0))</f>
        <v>2.9849999999999999</v>
      </c>
      <c r="M996" s="5">
        <f t="shared" si="30"/>
        <v>8.9550000000000001</v>
      </c>
      <c r="N996" t="str">
        <f>IF(I996="Rob","Robusta",IF(I996="Exc","Excelsa",IF(I996="Ara","Arabica",IF(I996="Lib","Liberica",""))))</f>
        <v>Arabica</v>
      </c>
      <c r="O996" t="str">
        <f t="shared" si="31"/>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INDEX(products!$A$1:$G$49,MATCH($D997,products!$A$1:$A$49,0),MATCH(orders!I$1,products!$A$1:$G$1,0))</f>
        <v>Rob</v>
      </c>
      <c r="J997" t="str">
        <f>INDEX(products!$A$1:$G$49,MATCH($D997,products!$A$1:$A$49,0),MATCH(orders!J$1,products!$A$1:$G$1,0))</f>
        <v>L</v>
      </c>
      <c r="K997" s="4">
        <f>INDEX(products!$A$1:$G$49,MATCH($D997,products!$A$1:$A$49,0),MATCH(orders!K$1,products!$A$1:$G$1,0))</f>
        <v>2.5</v>
      </c>
      <c r="L997" s="5">
        <f>INDEX(products!$A$1:$G$49,MATCH($D997,products!$A$1:$A$49,0),MATCH(orders!L$1,products!$A$1:$G$1,0))</f>
        <v>27.484999999999996</v>
      </c>
      <c r="M997" s="5">
        <f t="shared" si="30"/>
        <v>27.484999999999996</v>
      </c>
      <c r="N997" t="str">
        <f>IF(I997="Rob","Robusta",IF(I997="Exc","Excelsa",IF(I997="Ara","Arabica",IF(I997="Lib","Liberica",""))))</f>
        <v>Robusta</v>
      </c>
      <c r="O997" t="str">
        <f t="shared" si="31"/>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INDEX(products!$A$1:$G$49,MATCH($D998,products!$A$1:$A$49,0),MATCH(orders!I$1,products!$A$1:$G$1,0))</f>
        <v>Rob</v>
      </c>
      <c r="J998" t="str">
        <f>INDEX(products!$A$1:$G$49,MATCH($D998,products!$A$1:$A$49,0),MATCH(orders!J$1,products!$A$1:$G$1,0))</f>
        <v>M</v>
      </c>
      <c r="K998" s="4">
        <f>INDEX(products!$A$1:$G$49,MATCH($D998,products!$A$1:$A$49,0),MATCH(orders!K$1,products!$A$1:$G$1,0))</f>
        <v>0.5</v>
      </c>
      <c r="L998" s="5">
        <f>INDEX(products!$A$1:$G$49,MATCH($D998,products!$A$1:$A$49,0),MATCH(orders!L$1,products!$A$1:$G$1,0))</f>
        <v>5.97</v>
      </c>
      <c r="M998" s="5">
        <f t="shared" si="30"/>
        <v>29.849999999999998</v>
      </c>
      <c r="N998" t="str">
        <f>IF(I998="Rob","Robusta",IF(I998="Exc","Excelsa",IF(I998="Ara","Arabica",IF(I998="Lib","Liberica",""))))</f>
        <v>Robusta</v>
      </c>
      <c r="O998" t="str">
        <f t="shared" si="31"/>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INDEX(products!$A$1:$G$49,MATCH($D999,products!$A$1:$A$49,0),MATCH(orders!I$1,products!$A$1:$G$1,0))</f>
        <v>Ara</v>
      </c>
      <c r="J999" t="str">
        <f>INDEX(products!$A$1:$G$49,MATCH($D999,products!$A$1:$A$49,0),MATCH(orders!J$1,products!$A$1:$G$1,0))</f>
        <v>M</v>
      </c>
      <c r="K999" s="4">
        <f>INDEX(products!$A$1:$G$49,MATCH($D999,products!$A$1:$A$49,0),MATCH(orders!K$1,products!$A$1:$G$1,0))</f>
        <v>0.5</v>
      </c>
      <c r="L999" s="5">
        <f>INDEX(products!$A$1:$G$49,MATCH($D999,products!$A$1:$A$49,0),MATCH(orders!L$1,products!$A$1:$G$1,0))</f>
        <v>6.75</v>
      </c>
      <c r="M999" s="5">
        <f t="shared" si="30"/>
        <v>27</v>
      </c>
      <c r="N999" t="str">
        <f>IF(I999="Rob","Robusta",IF(I999="Exc","Excelsa",IF(I999="Ara","Arabica",IF(I999="Lib","Liberica",""))))</f>
        <v>Arabica</v>
      </c>
      <c r="O999" t="str">
        <f t="shared" si="31"/>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INDEX(products!$A$1:$G$49,MATCH($D1000,products!$A$1:$A$49,0),MATCH(orders!I$1,products!$A$1:$G$1,0))</f>
        <v>Ara</v>
      </c>
      <c r="J1000" t="str">
        <f>INDEX(products!$A$1:$G$49,MATCH($D1000,products!$A$1:$A$49,0),MATCH(orders!J$1,products!$A$1:$G$1,0))</f>
        <v>D</v>
      </c>
      <c r="K1000" s="4">
        <f>INDEX(products!$A$1:$G$49,MATCH($D1000,products!$A$1:$A$49,0),MATCH(orders!K$1,products!$A$1:$G$1,0))</f>
        <v>1</v>
      </c>
      <c r="L1000" s="5">
        <f>INDEX(products!$A$1:$G$49,MATCH($D1000,products!$A$1:$A$49,0),MATCH(orders!L$1,products!$A$1:$G$1,0))</f>
        <v>9.9499999999999993</v>
      </c>
      <c r="M1000" s="5">
        <f t="shared" si="30"/>
        <v>9.9499999999999993</v>
      </c>
      <c r="N1000" t="str">
        <f>IF(I1000="Rob","Robusta",IF(I1000="Exc","Excelsa",IF(I1000="Ara","Arabica",IF(I1000="Lib","Liberica",""))))</f>
        <v>Arabica</v>
      </c>
      <c r="O1000" t="str">
        <f t="shared" si="31"/>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INDEX(products!$A$1:$G$49,MATCH($D1001,products!$A$1:$A$49,0),MATCH(orders!I$1,products!$A$1:$G$1,0))</f>
        <v>Exc</v>
      </c>
      <c r="J1001" t="str">
        <f>INDEX(products!$A$1:$G$49,MATCH($D1001,products!$A$1:$A$49,0),MATCH(orders!J$1,products!$A$1:$G$1,0))</f>
        <v>M</v>
      </c>
      <c r="K1001" s="4">
        <f>INDEX(products!$A$1:$G$49,MATCH($D1001,products!$A$1:$A$49,0),MATCH(orders!K$1,products!$A$1:$G$1,0))</f>
        <v>0.2</v>
      </c>
      <c r="L1001" s="5">
        <f>INDEX(products!$A$1:$G$49,MATCH($D1001,products!$A$1:$A$49,0),MATCH(orders!L$1,products!$A$1:$G$1,0))</f>
        <v>4.125</v>
      </c>
      <c r="M1001" s="5">
        <f t="shared" si="30"/>
        <v>12.375</v>
      </c>
      <c r="N1001" t="str">
        <f>IF(I1001="Rob","Robusta",IF(I1001="Exc","Excelsa",IF(I1001="Ara","Arabica",IF(I1001="Lib","Liberica",""))))</f>
        <v>Excelsa</v>
      </c>
      <c r="O1001" t="str">
        <f t="shared" si="31"/>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49"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over Time</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Dariya Ostrovska</cp:lastModifiedBy>
  <cp:revision/>
  <dcterms:created xsi:type="dcterms:W3CDTF">2022-11-26T09:51:45Z</dcterms:created>
  <dcterms:modified xsi:type="dcterms:W3CDTF">2026-01-15T02:52:28Z</dcterms:modified>
  <cp:category/>
  <cp:contentStatus/>
</cp:coreProperties>
</file>